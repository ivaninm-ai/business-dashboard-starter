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FINITE NEW MEDIA G\Pictures\fict-data\test-datasets\"/>
    </mc:Choice>
  </mc:AlternateContent>
  <xr:revisionPtr revIDLastSave="0" documentId="13_ncr:1_{99967DD0-5EE9-4840-9E59-6E6270094E75}" xr6:coauthVersionLast="47" xr6:coauthVersionMax="47" xr10:uidLastSave="{00000000-0000-0000-0000-000000000000}"/>
  <bookViews>
    <workbookView xWindow="768" yWindow="768" windowWidth="17280" windowHeight="8880" xr2:uid="{00000000-000D-0000-FFFF-FFFF00000000}"/>
  </bookViews>
  <sheets>
    <sheet name="ReadMe" sheetId="1" r:id="rId1"/>
    <sheet name="Students" sheetId="2" r:id="rId2"/>
    <sheet name="Invoices" sheetId="3" r:id="rId3"/>
    <sheet name="Invoice Lines" sheetId="4" r:id="rId4"/>
    <sheet name="Receipts" sheetId="5" r:id="rId5"/>
    <sheet name="Classe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9" i="4" l="1"/>
  <c r="G318" i="4"/>
  <c r="G317" i="4"/>
  <c r="G316" i="4"/>
  <c r="G315" i="4"/>
  <c r="G314" i="4"/>
  <c r="G313" i="4"/>
  <c r="G312" i="4"/>
  <c r="G311" i="4"/>
  <c r="G310" i="4"/>
  <c r="G309" i="4"/>
  <c r="G308" i="4"/>
  <c r="G307" i="4"/>
  <c r="G306" i="4"/>
  <c r="G305" i="4"/>
  <c r="G304" i="4"/>
  <c r="G303" i="4"/>
  <c r="G302" i="4"/>
  <c r="G301" i="4"/>
  <c r="G300" i="4"/>
  <c r="G299" i="4"/>
  <c r="G298" i="4"/>
  <c r="G297" i="4"/>
  <c r="G296" i="4"/>
  <c r="G295" i="4"/>
  <c r="G294" i="4"/>
  <c r="G293" i="4"/>
  <c r="G292" i="4"/>
  <c r="G291" i="4"/>
  <c r="G290" i="4"/>
  <c r="G289" i="4"/>
  <c r="G288" i="4"/>
  <c r="G287" i="4"/>
  <c r="G286" i="4"/>
  <c r="G285" i="4"/>
  <c r="G284" i="4"/>
  <c r="G283" i="4"/>
  <c r="G282" i="4"/>
  <c r="G281" i="4"/>
  <c r="G280" i="4"/>
  <c r="G279" i="4"/>
  <c r="G278" i="4"/>
  <c r="G277" i="4"/>
  <c r="G276" i="4"/>
  <c r="G275" i="4"/>
  <c r="G274" i="4"/>
  <c r="G273" i="4"/>
  <c r="G272" i="4"/>
  <c r="G271" i="4"/>
  <c r="G270" i="4"/>
  <c r="G269" i="4"/>
  <c r="G268" i="4"/>
  <c r="G267" i="4"/>
  <c r="G266" i="4"/>
  <c r="G265" i="4"/>
  <c r="G264" i="4"/>
  <c r="G263" i="4"/>
  <c r="G262" i="4"/>
  <c r="G261" i="4"/>
  <c r="G260" i="4"/>
  <c r="G259" i="4"/>
  <c r="G258" i="4"/>
  <c r="G257" i="4"/>
  <c r="G256" i="4"/>
  <c r="G255" i="4"/>
  <c r="G254" i="4"/>
  <c r="G253" i="4"/>
  <c r="G252" i="4"/>
  <c r="G251" i="4"/>
  <c r="G250" i="4"/>
  <c r="G249" i="4"/>
  <c r="G248" i="4"/>
  <c r="G247" i="4"/>
  <c r="G246" i="4"/>
  <c r="G245" i="4"/>
  <c r="G244" i="4"/>
  <c r="G243" i="4"/>
  <c r="G242" i="4"/>
  <c r="G241" i="4"/>
  <c r="G240" i="4"/>
  <c r="G239" i="4"/>
  <c r="G238" i="4"/>
  <c r="G237" i="4"/>
  <c r="G236" i="4"/>
  <c r="G235" i="4"/>
  <c r="G234" i="4"/>
  <c r="G233" i="4"/>
  <c r="G232" i="4"/>
  <c r="G231" i="4"/>
  <c r="G230" i="4"/>
  <c r="G229" i="4"/>
  <c r="G228" i="4"/>
  <c r="G227" i="4"/>
  <c r="G226" i="4"/>
  <c r="G225" i="4"/>
  <c r="G224" i="4"/>
  <c r="G223" i="4"/>
  <c r="G222" i="4"/>
  <c r="G221" i="4"/>
  <c r="G220" i="4"/>
  <c r="G219" i="4"/>
  <c r="G218" i="4"/>
  <c r="G217" i="4"/>
  <c r="G216" i="4"/>
  <c r="G215" i="4"/>
  <c r="G214" i="4"/>
  <c r="G213" i="4"/>
  <c r="G212" i="4"/>
  <c r="G211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  <c r="I163" i="3"/>
  <c r="H163" i="3"/>
  <c r="G163" i="3"/>
  <c r="F163" i="3"/>
  <c r="I162" i="3"/>
  <c r="H162" i="3"/>
  <c r="G162" i="3"/>
  <c r="F162" i="3"/>
  <c r="G161" i="3"/>
  <c r="F161" i="3"/>
  <c r="H161" i="3" s="1"/>
  <c r="I161" i="3" s="1"/>
  <c r="G160" i="3"/>
  <c r="F160" i="3"/>
  <c r="H160" i="3" s="1"/>
  <c r="I160" i="3" s="1"/>
  <c r="G159" i="3"/>
  <c r="F159" i="3"/>
  <c r="H159" i="3" s="1"/>
  <c r="I159" i="3" s="1"/>
  <c r="G158" i="3"/>
  <c r="F158" i="3"/>
  <c r="H158" i="3" s="1"/>
  <c r="I158" i="3" s="1"/>
  <c r="G157" i="3"/>
  <c r="F157" i="3"/>
  <c r="H157" i="3" s="1"/>
  <c r="I157" i="3" s="1"/>
  <c r="G156" i="3"/>
  <c r="F156" i="3"/>
  <c r="H156" i="3" s="1"/>
  <c r="I156" i="3" s="1"/>
  <c r="G155" i="3"/>
  <c r="F155" i="3"/>
  <c r="H155" i="3" s="1"/>
  <c r="I155" i="3" s="1"/>
  <c r="I154" i="3"/>
  <c r="H154" i="3"/>
  <c r="G154" i="3"/>
  <c r="F154" i="3"/>
  <c r="G153" i="3"/>
  <c r="F153" i="3"/>
  <c r="H153" i="3" s="1"/>
  <c r="I153" i="3" s="1"/>
  <c r="G152" i="3"/>
  <c r="F152" i="3"/>
  <c r="H152" i="3" s="1"/>
  <c r="I152" i="3" s="1"/>
  <c r="G151" i="3"/>
  <c r="F151" i="3"/>
  <c r="H151" i="3" s="1"/>
  <c r="I151" i="3" s="1"/>
  <c r="G150" i="3"/>
  <c r="F150" i="3"/>
  <c r="H150" i="3" s="1"/>
  <c r="I150" i="3" s="1"/>
  <c r="G149" i="3"/>
  <c r="F149" i="3"/>
  <c r="H149" i="3" s="1"/>
  <c r="I149" i="3" s="1"/>
  <c r="G148" i="3"/>
  <c r="F148" i="3"/>
  <c r="H148" i="3" s="1"/>
  <c r="I148" i="3" s="1"/>
  <c r="G147" i="3"/>
  <c r="F147" i="3"/>
  <c r="H147" i="3" s="1"/>
  <c r="I147" i="3" s="1"/>
  <c r="G146" i="3"/>
  <c r="F146" i="3"/>
  <c r="H146" i="3" s="1"/>
  <c r="I146" i="3" s="1"/>
  <c r="G145" i="3"/>
  <c r="F145" i="3"/>
  <c r="H145" i="3" s="1"/>
  <c r="I145" i="3" s="1"/>
  <c r="G144" i="3"/>
  <c r="F144" i="3"/>
  <c r="H144" i="3" s="1"/>
  <c r="I144" i="3" s="1"/>
  <c r="I143" i="3"/>
  <c r="H143" i="3"/>
  <c r="G143" i="3"/>
  <c r="F143" i="3"/>
  <c r="G142" i="3"/>
  <c r="F142" i="3"/>
  <c r="H142" i="3" s="1"/>
  <c r="I142" i="3" s="1"/>
  <c r="G141" i="3"/>
  <c r="F141" i="3"/>
  <c r="H141" i="3" s="1"/>
  <c r="I141" i="3" s="1"/>
  <c r="G140" i="3"/>
  <c r="F140" i="3"/>
  <c r="H140" i="3" s="1"/>
  <c r="I140" i="3" s="1"/>
  <c r="G139" i="3"/>
  <c r="F139" i="3"/>
  <c r="H139" i="3" s="1"/>
  <c r="I139" i="3" s="1"/>
  <c r="G138" i="3"/>
  <c r="F138" i="3"/>
  <c r="H138" i="3" s="1"/>
  <c r="I138" i="3" s="1"/>
  <c r="I137" i="3"/>
  <c r="H137" i="3"/>
  <c r="G137" i="3"/>
  <c r="F137" i="3"/>
  <c r="G136" i="3"/>
  <c r="F136" i="3"/>
  <c r="H136" i="3" s="1"/>
  <c r="I136" i="3" s="1"/>
  <c r="G135" i="3"/>
  <c r="F135" i="3"/>
  <c r="H135" i="3" s="1"/>
  <c r="I135" i="3" s="1"/>
  <c r="G134" i="3"/>
  <c r="F134" i="3"/>
  <c r="H134" i="3" s="1"/>
  <c r="I134" i="3" s="1"/>
  <c r="G133" i="3"/>
  <c r="F133" i="3"/>
  <c r="H133" i="3" s="1"/>
  <c r="I133" i="3" s="1"/>
  <c r="I132" i="3"/>
  <c r="H132" i="3"/>
  <c r="G132" i="3"/>
  <c r="F132" i="3"/>
  <c r="G131" i="3"/>
  <c r="F131" i="3"/>
  <c r="H131" i="3" s="1"/>
  <c r="I131" i="3" s="1"/>
  <c r="I130" i="3"/>
  <c r="H130" i="3"/>
  <c r="G130" i="3"/>
  <c r="F130" i="3"/>
  <c r="G129" i="3"/>
  <c r="F129" i="3"/>
  <c r="H129" i="3" s="1"/>
  <c r="I129" i="3" s="1"/>
  <c r="I128" i="3"/>
  <c r="H128" i="3"/>
  <c r="G128" i="3"/>
  <c r="F128" i="3"/>
  <c r="I127" i="3"/>
  <c r="H127" i="3"/>
  <c r="G127" i="3"/>
  <c r="F127" i="3"/>
  <c r="G126" i="3"/>
  <c r="F126" i="3"/>
  <c r="H126" i="3" s="1"/>
  <c r="I126" i="3" s="1"/>
  <c r="G125" i="3"/>
  <c r="F125" i="3"/>
  <c r="H125" i="3" s="1"/>
  <c r="I125" i="3" s="1"/>
  <c r="G124" i="3"/>
  <c r="F124" i="3"/>
  <c r="H124" i="3" s="1"/>
  <c r="I124" i="3" s="1"/>
  <c r="G123" i="3"/>
  <c r="F123" i="3"/>
  <c r="H123" i="3" s="1"/>
  <c r="I123" i="3" s="1"/>
  <c r="G122" i="3"/>
  <c r="F122" i="3"/>
  <c r="G121" i="3"/>
  <c r="F121" i="3"/>
  <c r="H121" i="3" s="1"/>
  <c r="I121" i="3" s="1"/>
  <c r="G120" i="3"/>
  <c r="F120" i="3"/>
  <c r="H120" i="3" s="1"/>
  <c r="I120" i="3" s="1"/>
  <c r="G119" i="3"/>
  <c r="F119" i="3"/>
  <c r="H119" i="3" s="1"/>
  <c r="I119" i="3" s="1"/>
  <c r="G118" i="3"/>
  <c r="F118" i="3"/>
  <c r="H118" i="3" s="1"/>
  <c r="I118" i="3" s="1"/>
  <c r="I117" i="3"/>
  <c r="H117" i="3"/>
  <c r="G117" i="3"/>
  <c r="F117" i="3"/>
  <c r="G116" i="3"/>
  <c r="F116" i="3"/>
  <c r="H116" i="3" s="1"/>
  <c r="I116" i="3" s="1"/>
  <c r="G115" i="3"/>
  <c r="F115" i="3"/>
  <c r="H115" i="3" s="1"/>
  <c r="I115" i="3" s="1"/>
  <c r="G114" i="3"/>
  <c r="F114" i="3"/>
  <c r="H114" i="3" s="1"/>
  <c r="I114" i="3" s="1"/>
  <c r="G113" i="3"/>
  <c r="F113" i="3"/>
  <c r="H113" i="3" s="1"/>
  <c r="I113" i="3" s="1"/>
  <c r="G112" i="3"/>
  <c r="F112" i="3"/>
  <c r="H112" i="3" s="1"/>
  <c r="I112" i="3" s="1"/>
  <c r="G111" i="3"/>
  <c r="F111" i="3"/>
  <c r="H111" i="3" s="1"/>
  <c r="I111" i="3" s="1"/>
  <c r="G110" i="3"/>
  <c r="F110" i="3"/>
  <c r="H110" i="3" s="1"/>
  <c r="I110" i="3" s="1"/>
  <c r="G109" i="3"/>
  <c r="F109" i="3"/>
  <c r="H109" i="3" s="1"/>
  <c r="I109" i="3" s="1"/>
  <c r="G108" i="3"/>
  <c r="F108" i="3"/>
  <c r="H108" i="3" s="1"/>
  <c r="I108" i="3" s="1"/>
  <c r="G107" i="3"/>
  <c r="F107" i="3"/>
  <c r="H107" i="3" s="1"/>
  <c r="I107" i="3" s="1"/>
  <c r="G106" i="3"/>
  <c r="F106" i="3"/>
  <c r="H106" i="3" s="1"/>
  <c r="I106" i="3" s="1"/>
  <c r="G105" i="3"/>
  <c r="F105" i="3"/>
  <c r="H105" i="3" s="1"/>
  <c r="I105" i="3" s="1"/>
  <c r="G104" i="3"/>
  <c r="F104" i="3"/>
  <c r="H104" i="3" s="1"/>
  <c r="I104" i="3" s="1"/>
  <c r="G103" i="3"/>
  <c r="F103" i="3"/>
  <c r="H103" i="3" s="1"/>
  <c r="I103" i="3" s="1"/>
  <c r="G102" i="3"/>
  <c r="F102" i="3"/>
  <c r="G101" i="3"/>
  <c r="F101" i="3"/>
  <c r="H101" i="3" s="1"/>
  <c r="I101" i="3" s="1"/>
  <c r="G100" i="3"/>
  <c r="F100" i="3"/>
  <c r="H100" i="3" s="1"/>
  <c r="I100" i="3" s="1"/>
  <c r="G99" i="3"/>
  <c r="F99" i="3"/>
  <c r="H99" i="3" s="1"/>
  <c r="I99" i="3" s="1"/>
  <c r="G98" i="3"/>
  <c r="F98" i="3"/>
  <c r="H98" i="3" s="1"/>
  <c r="I98" i="3" s="1"/>
  <c r="G97" i="3"/>
  <c r="F97" i="3"/>
  <c r="H97" i="3" s="1"/>
  <c r="I97" i="3" s="1"/>
  <c r="G96" i="3"/>
  <c r="F96" i="3"/>
  <c r="H96" i="3" s="1"/>
  <c r="I96" i="3" s="1"/>
  <c r="G95" i="3"/>
  <c r="F95" i="3"/>
  <c r="H95" i="3" s="1"/>
  <c r="I95" i="3" s="1"/>
  <c r="G94" i="3"/>
  <c r="F94" i="3"/>
  <c r="H94" i="3" s="1"/>
  <c r="I94" i="3" s="1"/>
  <c r="G93" i="3"/>
  <c r="F93" i="3"/>
  <c r="H93" i="3" s="1"/>
  <c r="I93" i="3" s="1"/>
  <c r="G92" i="3"/>
  <c r="F92" i="3"/>
  <c r="H92" i="3" s="1"/>
  <c r="I92" i="3" s="1"/>
  <c r="G91" i="3"/>
  <c r="F91" i="3"/>
  <c r="H91" i="3" s="1"/>
  <c r="I91" i="3" s="1"/>
  <c r="G90" i="3"/>
  <c r="F90" i="3"/>
  <c r="H90" i="3" s="1"/>
  <c r="I90" i="3" s="1"/>
  <c r="G89" i="3"/>
  <c r="F89" i="3"/>
  <c r="H89" i="3" s="1"/>
  <c r="I89" i="3" s="1"/>
  <c r="G88" i="3"/>
  <c r="F88" i="3"/>
  <c r="H88" i="3" s="1"/>
  <c r="I88" i="3" s="1"/>
  <c r="G87" i="3"/>
  <c r="F87" i="3"/>
  <c r="H87" i="3" s="1"/>
  <c r="I87" i="3" s="1"/>
  <c r="G86" i="3"/>
  <c r="F86" i="3"/>
  <c r="H86" i="3" s="1"/>
  <c r="I86" i="3" s="1"/>
  <c r="G85" i="3"/>
  <c r="F85" i="3"/>
  <c r="H85" i="3" s="1"/>
  <c r="I85" i="3" s="1"/>
  <c r="G84" i="3"/>
  <c r="F84" i="3"/>
  <c r="H84" i="3" s="1"/>
  <c r="I84" i="3" s="1"/>
  <c r="G83" i="3"/>
  <c r="F83" i="3"/>
  <c r="H83" i="3" s="1"/>
  <c r="I83" i="3" s="1"/>
  <c r="H82" i="3"/>
  <c r="I82" i="3" s="1"/>
  <c r="G82" i="3"/>
  <c r="F82" i="3"/>
  <c r="G81" i="3"/>
  <c r="F81" i="3"/>
  <c r="H81" i="3" s="1"/>
  <c r="I81" i="3" s="1"/>
  <c r="G80" i="3"/>
  <c r="F80" i="3"/>
  <c r="H80" i="3" s="1"/>
  <c r="I80" i="3" s="1"/>
  <c r="G79" i="3"/>
  <c r="F79" i="3"/>
  <c r="H79" i="3" s="1"/>
  <c r="I79" i="3" s="1"/>
  <c r="G78" i="3"/>
  <c r="F78" i="3"/>
  <c r="H78" i="3" s="1"/>
  <c r="I78" i="3" s="1"/>
  <c r="G77" i="3"/>
  <c r="F77" i="3"/>
  <c r="H77" i="3" s="1"/>
  <c r="I77" i="3" s="1"/>
  <c r="G76" i="3"/>
  <c r="F76" i="3"/>
  <c r="H76" i="3" s="1"/>
  <c r="I76" i="3" s="1"/>
  <c r="G75" i="3"/>
  <c r="F75" i="3"/>
  <c r="H75" i="3" s="1"/>
  <c r="I75" i="3" s="1"/>
  <c r="G74" i="3"/>
  <c r="F74" i="3"/>
  <c r="H74" i="3" s="1"/>
  <c r="I74" i="3" s="1"/>
  <c r="G73" i="3"/>
  <c r="F73" i="3"/>
  <c r="H73" i="3" s="1"/>
  <c r="I73" i="3" s="1"/>
  <c r="G72" i="3"/>
  <c r="F72" i="3"/>
  <c r="H72" i="3" s="1"/>
  <c r="I72" i="3" s="1"/>
  <c r="G71" i="3"/>
  <c r="F71" i="3"/>
  <c r="H71" i="3" s="1"/>
  <c r="I71" i="3" s="1"/>
  <c r="G70" i="3"/>
  <c r="F70" i="3"/>
  <c r="H70" i="3" s="1"/>
  <c r="I70" i="3" s="1"/>
  <c r="G69" i="3"/>
  <c r="F69" i="3"/>
  <c r="H69" i="3" s="1"/>
  <c r="I69" i="3" s="1"/>
  <c r="G68" i="3"/>
  <c r="F68" i="3"/>
  <c r="H68" i="3" s="1"/>
  <c r="I68" i="3" s="1"/>
  <c r="G67" i="3"/>
  <c r="F67" i="3"/>
  <c r="H67" i="3" s="1"/>
  <c r="I67" i="3" s="1"/>
  <c r="G66" i="3"/>
  <c r="F66" i="3"/>
  <c r="H66" i="3" s="1"/>
  <c r="I66" i="3" s="1"/>
  <c r="G65" i="3"/>
  <c r="F65" i="3"/>
  <c r="H65" i="3" s="1"/>
  <c r="I65" i="3" s="1"/>
  <c r="G64" i="3"/>
  <c r="F64" i="3"/>
  <c r="H64" i="3" s="1"/>
  <c r="I64" i="3" s="1"/>
  <c r="G63" i="3"/>
  <c r="F63" i="3"/>
  <c r="H63" i="3" s="1"/>
  <c r="I63" i="3" s="1"/>
  <c r="H62" i="3"/>
  <c r="I62" i="3" s="1"/>
  <c r="G62" i="3"/>
  <c r="F62" i="3"/>
  <c r="G61" i="3"/>
  <c r="F61" i="3"/>
  <c r="H61" i="3" s="1"/>
  <c r="I61" i="3" s="1"/>
  <c r="G60" i="3"/>
  <c r="F60" i="3"/>
  <c r="H60" i="3" s="1"/>
  <c r="I60" i="3" s="1"/>
  <c r="G59" i="3"/>
  <c r="F59" i="3"/>
  <c r="H59" i="3" s="1"/>
  <c r="I59" i="3" s="1"/>
  <c r="G58" i="3"/>
  <c r="F58" i="3"/>
  <c r="H58" i="3" s="1"/>
  <c r="I58" i="3" s="1"/>
  <c r="G57" i="3"/>
  <c r="F57" i="3"/>
  <c r="H57" i="3" s="1"/>
  <c r="I57" i="3" s="1"/>
  <c r="G56" i="3"/>
  <c r="F56" i="3"/>
  <c r="H56" i="3" s="1"/>
  <c r="I56" i="3" s="1"/>
  <c r="G55" i="3"/>
  <c r="F55" i="3"/>
  <c r="H55" i="3" s="1"/>
  <c r="I55" i="3" s="1"/>
  <c r="G54" i="3"/>
  <c r="F54" i="3"/>
  <c r="H54" i="3" s="1"/>
  <c r="I54" i="3" s="1"/>
  <c r="G53" i="3"/>
  <c r="F53" i="3"/>
  <c r="H53" i="3" s="1"/>
  <c r="I53" i="3" s="1"/>
  <c r="G52" i="3"/>
  <c r="F52" i="3"/>
  <c r="H52" i="3" s="1"/>
  <c r="I52" i="3" s="1"/>
  <c r="G51" i="3"/>
  <c r="F51" i="3"/>
  <c r="H51" i="3" s="1"/>
  <c r="I51" i="3" s="1"/>
  <c r="G50" i="3"/>
  <c r="F50" i="3"/>
  <c r="H50" i="3" s="1"/>
  <c r="I50" i="3" s="1"/>
  <c r="G49" i="3"/>
  <c r="F49" i="3"/>
  <c r="H49" i="3" s="1"/>
  <c r="I49" i="3" s="1"/>
  <c r="G48" i="3"/>
  <c r="F48" i="3"/>
  <c r="H48" i="3" s="1"/>
  <c r="I48" i="3" s="1"/>
  <c r="G47" i="3"/>
  <c r="F47" i="3"/>
  <c r="H47" i="3" s="1"/>
  <c r="I47" i="3" s="1"/>
  <c r="G46" i="3"/>
  <c r="F46" i="3"/>
  <c r="H46" i="3" s="1"/>
  <c r="I46" i="3" s="1"/>
  <c r="G45" i="3"/>
  <c r="F45" i="3"/>
  <c r="H45" i="3" s="1"/>
  <c r="I45" i="3" s="1"/>
  <c r="G44" i="3"/>
  <c r="F44" i="3"/>
  <c r="H44" i="3" s="1"/>
  <c r="I44" i="3" s="1"/>
  <c r="G43" i="3"/>
  <c r="F43" i="3"/>
  <c r="H43" i="3" s="1"/>
  <c r="I43" i="3" s="1"/>
  <c r="G42" i="3"/>
  <c r="F42" i="3"/>
  <c r="G41" i="3"/>
  <c r="F41" i="3"/>
  <c r="H41" i="3" s="1"/>
  <c r="I41" i="3" s="1"/>
  <c r="G40" i="3"/>
  <c r="F40" i="3"/>
  <c r="H40" i="3" s="1"/>
  <c r="I40" i="3" s="1"/>
  <c r="G39" i="3"/>
  <c r="F39" i="3"/>
  <c r="H39" i="3" s="1"/>
  <c r="I39" i="3" s="1"/>
  <c r="G38" i="3"/>
  <c r="F38" i="3"/>
  <c r="H38" i="3" s="1"/>
  <c r="I38" i="3" s="1"/>
  <c r="G37" i="3"/>
  <c r="F37" i="3"/>
  <c r="H37" i="3" s="1"/>
  <c r="I37" i="3" s="1"/>
  <c r="G36" i="3"/>
  <c r="F36" i="3"/>
  <c r="H36" i="3" s="1"/>
  <c r="I36" i="3" s="1"/>
  <c r="G35" i="3"/>
  <c r="F35" i="3"/>
  <c r="H35" i="3" s="1"/>
  <c r="I35" i="3" s="1"/>
  <c r="G34" i="3"/>
  <c r="F34" i="3"/>
  <c r="H34" i="3" s="1"/>
  <c r="I34" i="3" s="1"/>
  <c r="G33" i="3"/>
  <c r="F33" i="3"/>
  <c r="H33" i="3" s="1"/>
  <c r="I33" i="3" s="1"/>
  <c r="G32" i="3"/>
  <c r="F32" i="3"/>
  <c r="H32" i="3" s="1"/>
  <c r="I32" i="3" s="1"/>
  <c r="G31" i="3"/>
  <c r="F31" i="3"/>
  <c r="H31" i="3" s="1"/>
  <c r="I31" i="3" s="1"/>
  <c r="G30" i="3"/>
  <c r="F30" i="3"/>
  <c r="H30" i="3" s="1"/>
  <c r="I30" i="3" s="1"/>
  <c r="G29" i="3"/>
  <c r="F29" i="3"/>
  <c r="H29" i="3" s="1"/>
  <c r="I29" i="3" s="1"/>
  <c r="G28" i="3"/>
  <c r="F28" i="3"/>
  <c r="H28" i="3" s="1"/>
  <c r="I28" i="3" s="1"/>
  <c r="G27" i="3"/>
  <c r="F27" i="3"/>
  <c r="H27" i="3" s="1"/>
  <c r="I27" i="3" s="1"/>
  <c r="G26" i="3"/>
  <c r="F26" i="3"/>
  <c r="H26" i="3" s="1"/>
  <c r="I26" i="3" s="1"/>
  <c r="G25" i="3"/>
  <c r="F25" i="3"/>
  <c r="H25" i="3" s="1"/>
  <c r="I25" i="3" s="1"/>
  <c r="G24" i="3"/>
  <c r="F24" i="3"/>
  <c r="H24" i="3" s="1"/>
  <c r="I24" i="3" s="1"/>
  <c r="G23" i="3"/>
  <c r="F23" i="3"/>
  <c r="H23" i="3" s="1"/>
  <c r="I23" i="3" s="1"/>
  <c r="G22" i="3"/>
  <c r="F22" i="3"/>
  <c r="G21" i="3"/>
  <c r="F21" i="3"/>
  <c r="H21" i="3" s="1"/>
  <c r="I21" i="3" s="1"/>
  <c r="G20" i="3"/>
  <c r="F20" i="3"/>
  <c r="H20" i="3" s="1"/>
  <c r="I20" i="3" s="1"/>
  <c r="G19" i="3"/>
  <c r="F19" i="3"/>
  <c r="H19" i="3" s="1"/>
  <c r="I19" i="3" s="1"/>
  <c r="G18" i="3"/>
  <c r="F18" i="3"/>
  <c r="H18" i="3" s="1"/>
  <c r="I18" i="3" s="1"/>
  <c r="G17" i="3"/>
  <c r="F17" i="3"/>
  <c r="H17" i="3" s="1"/>
  <c r="I17" i="3" s="1"/>
  <c r="G16" i="3"/>
  <c r="F16" i="3"/>
  <c r="H16" i="3" s="1"/>
  <c r="I16" i="3" s="1"/>
  <c r="G15" i="3"/>
  <c r="F15" i="3"/>
  <c r="H15" i="3" s="1"/>
  <c r="I15" i="3" s="1"/>
  <c r="G14" i="3"/>
  <c r="F14" i="3"/>
  <c r="H14" i="3" s="1"/>
  <c r="I14" i="3" s="1"/>
  <c r="G13" i="3"/>
  <c r="F13" i="3"/>
  <c r="H13" i="3" s="1"/>
  <c r="I13" i="3" s="1"/>
  <c r="G12" i="3"/>
  <c r="F12" i="3"/>
  <c r="H12" i="3" s="1"/>
  <c r="I12" i="3" s="1"/>
  <c r="G11" i="3"/>
  <c r="F11" i="3"/>
  <c r="H11" i="3" s="1"/>
  <c r="I11" i="3" s="1"/>
  <c r="G10" i="3"/>
  <c r="F10" i="3"/>
  <c r="H10" i="3" s="1"/>
  <c r="I10" i="3" s="1"/>
  <c r="G9" i="3"/>
  <c r="F9" i="3"/>
  <c r="H9" i="3" s="1"/>
  <c r="I9" i="3" s="1"/>
  <c r="G8" i="3"/>
  <c r="F8" i="3"/>
  <c r="H8" i="3" s="1"/>
  <c r="I8" i="3" s="1"/>
  <c r="G7" i="3"/>
  <c r="F7" i="3"/>
  <c r="H7" i="3" s="1"/>
  <c r="I7" i="3" s="1"/>
  <c r="G6" i="3"/>
  <c r="F6" i="3"/>
  <c r="H6" i="3" s="1"/>
  <c r="I6" i="3" s="1"/>
  <c r="G5" i="3"/>
  <c r="F5" i="3"/>
  <c r="H5" i="3" s="1"/>
  <c r="I5" i="3" s="1"/>
  <c r="G4" i="3"/>
  <c r="F4" i="3"/>
  <c r="H4" i="3" s="1"/>
  <c r="I4" i="3" s="1"/>
  <c r="G3" i="3"/>
  <c r="F3" i="3"/>
  <c r="H3" i="3" s="1"/>
  <c r="I3" i="3" s="1"/>
  <c r="G2" i="3"/>
  <c r="F2" i="3"/>
  <c r="H2" i="3" s="1"/>
  <c r="I2" i="3" s="1"/>
  <c r="H42" i="3" l="1"/>
  <c r="I42" i="3" s="1"/>
  <c r="H22" i="3"/>
  <c r="I22" i="3" s="1"/>
  <c r="H122" i="3"/>
  <c r="I122" i="3" s="1"/>
  <c r="H102" i="3"/>
  <c r="I102" i="3" s="1"/>
</calcChain>
</file>

<file path=xl/sharedStrings.xml><?xml version="1.0" encoding="utf-8"?>
<sst xmlns="http://schemas.openxmlformats.org/spreadsheetml/2006/main" count="2271" uniqueCount="699">
  <si>
    <t>Cerdik Tuition Centre 补习中心 · Jul–Sep 2026 records (invented practice data)</t>
  </si>
  <si>
    <t>What this is</t>
  </si>
  <si>
    <t>Records of an invented tuition centre, to test whether the dashboard can read an Excel with a different structure. All names, phone numbers and figures are invented.</t>
  </si>
  <si>
    <t>Period</t>
  </si>
  <si>
    <t>Invoices for July, August and September 2026 (issued on the 1st, due on the 7th). Receipts and classes up to 24 September 2026.</t>
  </si>
  <si>
    <t>Students</t>
  </si>
  <si>
    <t>One row per student: level, date joined, status (Active / Paused / Left).</t>
  </si>
  <si>
    <t>Invoices</t>
  </si>
  <si>
    <t>One row per monthly invoice. Invoice Total, Amount Paid, Balance and Status are formulas: the total adds up the invoice lines, the amount paid adds up the receipts. Type Yes under Void to cancel an invoice.</t>
  </si>
  <si>
    <t>Invoice Lines</t>
  </si>
  <si>
    <t>One row per subject (and a one-off registration fee for new students). Line Total = Qty × Unit Fee (formula). Edit Qty or Unit Fee; the totals follow.</t>
  </si>
  <si>
    <t>Receipts</t>
  </si>
  <si>
    <t>One row per payment received, linked to an invoice. Some September invoices are unpaid or half paid.</t>
  </si>
  <si>
    <t>Classes</t>
  </si>
  <si>
    <t>September class sessions with enrolled and present counts — a kind of record the BetterSpace layout does not have.</t>
  </si>
  <si>
    <t>Different from BetterSpace</t>
  </si>
  <si>
    <t>Services, not products: no stock sheet. An invoice is made of several lines. Invoice status means payment status (Issued / Partially Paid / Paid / Void), not delivery. Extra Classes sheet. Different sheet and column names.</t>
  </si>
  <si>
    <t>Student No</t>
  </si>
  <si>
    <t>Student Name</t>
  </si>
  <si>
    <t>Parent Name</t>
  </si>
  <si>
    <t>Parent Phone</t>
  </si>
  <si>
    <t>Level</t>
  </si>
  <si>
    <t>Joined On</t>
  </si>
  <si>
    <t>Status</t>
  </si>
  <si>
    <t>S1001</t>
  </si>
  <si>
    <t>Isaac Tan</t>
  </si>
  <si>
    <t>Parent of Isaac</t>
  </si>
  <si>
    <t>014-555 8115</t>
  </si>
  <si>
    <t>Std 4</t>
  </si>
  <si>
    <t>Active</t>
  </si>
  <si>
    <t>S1002</t>
  </si>
  <si>
    <t>Ooi Kai Xuan</t>
  </si>
  <si>
    <t>Parent of Ooi</t>
  </si>
  <si>
    <t>014-555 8903</t>
  </si>
  <si>
    <t>Form 1</t>
  </si>
  <si>
    <t>S1003</t>
  </si>
  <si>
    <t>Tan Wei Ming</t>
  </si>
  <si>
    <t>Parent of Tan</t>
  </si>
  <si>
    <t>014-555 5652</t>
  </si>
  <si>
    <t>Form 5</t>
  </si>
  <si>
    <t>S1004</t>
  </si>
  <si>
    <t>Teoh Mei Qi</t>
  </si>
  <si>
    <t>Parent of Teoh</t>
  </si>
  <si>
    <t>012-555 1463</t>
  </si>
  <si>
    <t>S1005</t>
  </si>
  <si>
    <t>Sofia Lim</t>
  </si>
  <si>
    <t>Parent of Sofia</t>
  </si>
  <si>
    <t>013-555 6549</t>
  </si>
  <si>
    <t>S1006</t>
  </si>
  <si>
    <t>Nadia Wong</t>
  </si>
  <si>
    <t>Parent of Nadia</t>
  </si>
  <si>
    <t>016-555 3805</t>
  </si>
  <si>
    <t>Std 6</t>
  </si>
  <si>
    <t>S1007</t>
  </si>
  <si>
    <t>Chong Zi Yang</t>
  </si>
  <si>
    <t>Parent of Chong</t>
  </si>
  <si>
    <t>013-555 5736</t>
  </si>
  <si>
    <t>Form 2</t>
  </si>
  <si>
    <t>S1008</t>
  </si>
  <si>
    <t>Kyle Lee</t>
  </si>
  <si>
    <t>Parent of Kyle</t>
  </si>
  <si>
    <t>016-555 6491</t>
  </si>
  <si>
    <t>S1009</t>
  </si>
  <si>
    <t>Isaac Wong</t>
  </si>
  <si>
    <t>016-555 4186</t>
  </si>
  <si>
    <t>S1010</t>
  </si>
  <si>
    <t>Adam Harith</t>
  </si>
  <si>
    <t>Parent of Adam</t>
  </si>
  <si>
    <t>012-555 9418</t>
  </si>
  <si>
    <t>Left</t>
  </si>
  <si>
    <t>S1011</t>
  </si>
  <si>
    <t>Aiden Tan</t>
  </si>
  <si>
    <t>Parent of Aiden</t>
  </si>
  <si>
    <t>016-555 9920</t>
  </si>
  <si>
    <t>S1012</t>
  </si>
  <si>
    <t>Chloe Lee</t>
  </si>
  <si>
    <t>Parent of Chloe</t>
  </si>
  <si>
    <t>013-555 6366</t>
  </si>
  <si>
    <t>S1013</t>
  </si>
  <si>
    <t>Chloe Ismail</t>
  </si>
  <si>
    <t>014-555 0373</t>
  </si>
  <si>
    <t>S1014</t>
  </si>
  <si>
    <t>012-555 6896</t>
  </si>
  <si>
    <t>S1015</t>
  </si>
  <si>
    <t>Iman Zahra</t>
  </si>
  <si>
    <t>Parent of Iman</t>
  </si>
  <si>
    <t>019-555 5969</t>
  </si>
  <si>
    <t>Form 3</t>
  </si>
  <si>
    <t>S1016</t>
  </si>
  <si>
    <t>Chloe Chua</t>
  </si>
  <si>
    <t>019-555 7645</t>
  </si>
  <si>
    <t>S1017</t>
  </si>
  <si>
    <t>Shalini Devi</t>
  </si>
  <si>
    <t>Parent of Shalini</t>
  </si>
  <si>
    <t>013-555 0845</t>
  </si>
  <si>
    <t>Std 5</t>
  </si>
  <si>
    <t>S1018</t>
  </si>
  <si>
    <t>014-555 2362</t>
  </si>
  <si>
    <t>S1019</t>
  </si>
  <si>
    <t>Arvind Raj</t>
  </si>
  <si>
    <t>Parent of Arvind</t>
  </si>
  <si>
    <t>012-555 9054</t>
  </si>
  <si>
    <t>S1020</t>
  </si>
  <si>
    <t>Aiden Krishnan</t>
  </si>
  <si>
    <t>018-555 6400</t>
  </si>
  <si>
    <t>Form 4</t>
  </si>
  <si>
    <t>Paused</t>
  </si>
  <si>
    <t>S1021</t>
  </si>
  <si>
    <t>Darren Tan</t>
  </si>
  <si>
    <t>Parent of Darren</t>
  </si>
  <si>
    <t>017-555 0377</t>
  </si>
  <si>
    <t>S1022</t>
  </si>
  <si>
    <t>Yashini Rao</t>
  </si>
  <si>
    <t>Parent of Yashini</t>
  </si>
  <si>
    <t>017-555 0427</t>
  </si>
  <si>
    <t>S1023</t>
  </si>
  <si>
    <t>014-555 3208</t>
  </si>
  <si>
    <t>S1024</t>
  </si>
  <si>
    <t>Kyle Lim</t>
  </si>
  <si>
    <t>014-555 3481</t>
  </si>
  <si>
    <t>S1025</t>
  </si>
  <si>
    <t>Liyana Abdullah</t>
  </si>
  <si>
    <t>Parent of Liyana</t>
  </si>
  <si>
    <t>012-555 8088</t>
  </si>
  <si>
    <t>S1026</t>
  </si>
  <si>
    <t>Qistina Aleesya</t>
  </si>
  <si>
    <t>Parent of Qistina</t>
  </si>
  <si>
    <t>012-555 8440</t>
  </si>
  <si>
    <t>S1027</t>
  </si>
  <si>
    <t>019-555 3010</t>
  </si>
  <si>
    <t>S1028</t>
  </si>
  <si>
    <t>Tharun Kumar</t>
  </si>
  <si>
    <t>Parent of Tharun</t>
  </si>
  <si>
    <t>014-555 3516</t>
  </si>
  <si>
    <t>S1029</t>
  </si>
  <si>
    <t>Yap Hui Min</t>
  </si>
  <si>
    <t>Parent of Yap</t>
  </si>
  <si>
    <t>019-555 1116</t>
  </si>
  <si>
    <t>S1030</t>
  </si>
  <si>
    <t>Aiden Abdullah</t>
  </si>
  <si>
    <t>018-555 3191</t>
  </si>
  <si>
    <t>S1031</t>
  </si>
  <si>
    <t>018-555 7943</t>
  </si>
  <si>
    <t>S1032</t>
  </si>
  <si>
    <t>Kishen Naidu</t>
  </si>
  <si>
    <t>Parent of Kishen</t>
  </si>
  <si>
    <t>013-555 1800</t>
  </si>
  <si>
    <t>S1033</t>
  </si>
  <si>
    <t>016-555 1567</t>
  </si>
  <si>
    <t>S1034</t>
  </si>
  <si>
    <t>017-555 2494</t>
  </si>
  <si>
    <t>S1035</t>
  </si>
  <si>
    <t>Danish Irfan</t>
  </si>
  <si>
    <t>Parent of Danish</t>
  </si>
  <si>
    <t>016-555 6382</t>
  </si>
  <si>
    <t>S1036</t>
  </si>
  <si>
    <t>017-555 4556</t>
  </si>
  <si>
    <t>S1037</t>
  </si>
  <si>
    <t>019-555 3148</t>
  </si>
  <si>
    <t>S1038</t>
  </si>
  <si>
    <t>017-555 1130</t>
  </si>
  <si>
    <t>S1039</t>
  </si>
  <si>
    <t>Jasmine Lee</t>
  </si>
  <si>
    <t>Parent of Jasmine</t>
  </si>
  <si>
    <t>013-555 1857</t>
  </si>
  <si>
    <t>S1040</t>
  </si>
  <si>
    <t>019-555 1618</t>
  </si>
  <si>
    <t>S1041</t>
  </si>
  <si>
    <t>016-555 6629</t>
  </si>
  <si>
    <t>S1042</t>
  </si>
  <si>
    <t>017-555 9847</t>
  </si>
  <si>
    <t>S1043</t>
  </si>
  <si>
    <t>Aina Sofea</t>
  </si>
  <si>
    <t>Parent of Aina</t>
  </si>
  <si>
    <t>016-555 0628</t>
  </si>
  <si>
    <t>S1044</t>
  </si>
  <si>
    <t>Chloe Abdullah</t>
  </si>
  <si>
    <t>017-555 8037</t>
  </si>
  <si>
    <t>S1045</t>
  </si>
  <si>
    <t>019-555 7642</t>
  </si>
  <si>
    <t>S1046</t>
  </si>
  <si>
    <t>018-555 3042</t>
  </si>
  <si>
    <t>S1047</t>
  </si>
  <si>
    <t>018-555 8568</t>
  </si>
  <si>
    <t>S1048</t>
  </si>
  <si>
    <t>016-555 1503</t>
  </si>
  <si>
    <t>S1049</t>
  </si>
  <si>
    <t>013-555 3868</t>
  </si>
  <si>
    <t>S1050</t>
  </si>
  <si>
    <t>Lim Xin Yi</t>
  </si>
  <si>
    <t>Parent of Lim</t>
  </si>
  <si>
    <t>016-555 5685</t>
  </si>
  <si>
    <t>S1051</t>
  </si>
  <si>
    <t>012-555 1787</t>
  </si>
  <si>
    <t>S1052</t>
  </si>
  <si>
    <t>013-555 1515</t>
  </si>
  <si>
    <t>S1053</t>
  </si>
  <si>
    <t>012-555 8312</t>
  </si>
  <si>
    <t>S1054</t>
  </si>
  <si>
    <t>Hana Batrisyia</t>
  </si>
  <si>
    <t>Parent of Hana</t>
  </si>
  <si>
    <t>013-555 4663</t>
  </si>
  <si>
    <t>S1055</t>
  </si>
  <si>
    <t>017-555 7484</t>
  </si>
  <si>
    <t>S1056</t>
  </si>
  <si>
    <t>019-555 1088</t>
  </si>
  <si>
    <t>Invoice No</t>
  </si>
  <si>
    <t>Invoice Date</t>
  </si>
  <si>
    <t>Due Date</t>
  </si>
  <si>
    <t>Void</t>
  </si>
  <si>
    <t>Invoice Total</t>
  </si>
  <si>
    <t>Amount Paid</t>
  </si>
  <si>
    <t>Balance</t>
  </si>
  <si>
    <t>INV-2607-001</t>
  </si>
  <si>
    <t>INV-2607-002</t>
  </si>
  <si>
    <t>INV-2607-003</t>
  </si>
  <si>
    <t>INV-2607-004</t>
  </si>
  <si>
    <t>INV-2607-005</t>
  </si>
  <si>
    <t>INV-2607-006</t>
  </si>
  <si>
    <t>INV-2607-007</t>
  </si>
  <si>
    <t>INV-2607-008</t>
  </si>
  <si>
    <t>INV-2607-009</t>
  </si>
  <si>
    <t>INV-2607-010</t>
  </si>
  <si>
    <t>INV-2607-011</t>
  </si>
  <si>
    <t>INV-2607-012</t>
  </si>
  <si>
    <t>INV-2607-013</t>
  </si>
  <si>
    <t>INV-2607-014</t>
  </si>
  <si>
    <t>INV-2607-015</t>
  </si>
  <si>
    <t>INV-2607-016</t>
  </si>
  <si>
    <t>INV-2607-017</t>
  </si>
  <si>
    <t>INV-2607-018</t>
  </si>
  <si>
    <t>INV-2607-019</t>
  </si>
  <si>
    <t>INV-2607-020</t>
  </si>
  <si>
    <t>INV-2607-021</t>
  </si>
  <si>
    <t>INV-2607-022</t>
  </si>
  <si>
    <t>INV-2607-023</t>
  </si>
  <si>
    <t>INV-2607-024</t>
  </si>
  <si>
    <t>INV-2607-025</t>
  </si>
  <si>
    <t>INV-2607-026</t>
  </si>
  <si>
    <t>INV-2607-027</t>
  </si>
  <si>
    <t>INV-2607-028</t>
  </si>
  <si>
    <t>INV-2607-029</t>
  </si>
  <si>
    <t>INV-2607-030</t>
  </si>
  <si>
    <t>INV-2607-031</t>
  </si>
  <si>
    <t>INV-2607-032</t>
  </si>
  <si>
    <t>INV-2607-033</t>
  </si>
  <si>
    <t>INV-2607-034</t>
  </si>
  <si>
    <t>INV-2607-035</t>
  </si>
  <si>
    <t>INV-2607-036</t>
  </si>
  <si>
    <t>INV-2607-037</t>
  </si>
  <si>
    <t>INV-2607-038</t>
  </si>
  <si>
    <t>INV-2607-039</t>
  </si>
  <si>
    <t>INV-2607-040</t>
  </si>
  <si>
    <t>INV-2607-041</t>
  </si>
  <si>
    <t>INV-2607-042</t>
  </si>
  <si>
    <t>INV-2607-043</t>
  </si>
  <si>
    <t>INV-2607-044</t>
  </si>
  <si>
    <t>INV-2607-045</t>
  </si>
  <si>
    <t>INV-2607-046</t>
  </si>
  <si>
    <t>INV-2607-047</t>
  </si>
  <si>
    <t>INV-2607-048</t>
  </si>
  <si>
    <t>INV-2607-049</t>
  </si>
  <si>
    <t>INV-2607-050</t>
  </si>
  <si>
    <t>INV-2607-051</t>
  </si>
  <si>
    <t>INV-2608-001</t>
  </si>
  <si>
    <t>INV-2608-002</t>
  </si>
  <si>
    <t>INV-2608-003</t>
  </si>
  <si>
    <t>INV-2608-004</t>
  </si>
  <si>
    <t>INV-2608-005</t>
  </si>
  <si>
    <t>INV-2608-006</t>
  </si>
  <si>
    <t>INV-2608-007</t>
  </si>
  <si>
    <t>INV-2608-008</t>
  </si>
  <si>
    <t>INV-2608-009</t>
  </si>
  <si>
    <t>INV-2608-010</t>
  </si>
  <si>
    <t>INV-2608-011</t>
  </si>
  <si>
    <t>INV-2608-012</t>
  </si>
  <si>
    <t>INV-2608-013</t>
  </si>
  <si>
    <t>INV-2608-014</t>
  </si>
  <si>
    <t>INV-2608-015</t>
  </si>
  <si>
    <t>INV-2608-016</t>
  </si>
  <si>
    <t>INV-2608-017</t>
  </si>
  <si>
    <t>INV-2608-018</t>
  </si>
  <si>
    <t>INV-2608-019</t>
  </si>
  <si>
    <t>INV-2608-020</t>
  </si>
  <si>
    <t>INV-2608-021</t>
  </si>
  <si>
    <t>INV-2608-022</t>
  </si>
  <si>
    <t>INV-2608-023</t>
  </si>
  <si>
    <t>INV-2608-024</t>
  </si>
  <si>
    <t>INV-2608-025</t>
  </si>
  <si>
    <t>INV-2608-026</t>
  </si>
  <si>
    <t>INV-2608-027</t>
  </si>
  <si>
    <t>INV-2608-028</t>
  </si>
  <si>
    <t>INV-2608-029</t>
  </si>
  <si>
    <t>INV-2608-030</t>
  </si>
  <si>
    <t>INV-2608-031</t>
  </si>
  <si>
    <t>INV-2608-032</t>
  </si>
  <si>
    <t>INV-2608-033</t>
  </si>
  <si>
    <t>INV-2608-034</t>
  </si>
  <si>
    <t>INV-2608-035</t>
  </si>
  <si>
    <t>INV-2608-036</t>
  </si>
  <si>
    <t>INV-2608-037</t>
  </si>
  <si>
    <t>INV-2608-038</t>
  </si>
  <si>
    <t>INV-2608-039</t>
  </si>
  <si>
    <t>INV-2608-040</t>
  </si>
  <si>
    <t>INV-2608-041</t>
  </si>
  <si>
    <t>INV-2608-042</t>
  </si>
  <si>
    <t>INV-2608-043</t>
  </si>
  <si>
    <t>INV-2608-044</t>
  </si>
  <si>
    <t>INV-2608-045</t>
  </si>
  <si>
    <t>INV-2608-046</t>
  </si>
  <si>
    <t>INV-2608-047</t>
  </si>
  <si>
    <t>INV-2608-048</t>
  </si>
  <si>
    <t>INV-2608-049</t>
  </si>
  <si>
    <t>INV-2608-050</t>
  </si>
  <si>
    <t>INV-2608-051</t>
  </si>
  <si>
    <t>INV-2608-052</t>
  </si>
  <si>
    <t>INV-2608-053</t>
  </si>
  <si>
    <t>INV-2608-054</t>
  </si>
  <si>
    <t>INV-2608-055</t>
  </si>
  <si>
    <t>INV-2609-001</t>
  </si>
  <si>
    <t>INV-2609-002</t>
  </si>
  <si>
    <t>INV-2609-003</t>
  </si>
  <si>
    <t>INV-2609-004</t>
  </si>
  <si>
    <t>INV-2609-005</t>
  </si>
  <si>
    <t>INV-2609-006</t>
  </si>
  <si>
    <t>INV-2609-007</t>
  </si>
  <si>
    <t>INV-2609-008</t>
  </si>
  <si>
    <t>INV-2609-009</t>
  </si>
  <si>
    <t>INV-2609-010</t>
  </si>
  <si>
    <t>Yes</t>
  </si>
  <si>
    <t>INV-2609-011</t>
  </si>
  <si>
    <t>INV-2609-012</t>
  </si>
  <si>
    <t>INV-2609-013</t>
  </si>
  <si>
    <t>INV-2609-014</t>
  </si>
  <si>
    <t>INV-2609-015</t>
  </si>
  <si>
    <t>INV-2609-016</t>
  </si>
  <si>
    <t>INV-2609-017</t>
  </si>
  <si>
    <t>INV-2609-018</t>
  </si>
  <si>
    <t>INV-2609-019</t>
  </si>
  <si>
    <t>INV-2609-020</t>
  </si>
  <si>
    <t>INV-2609-021</t>
  </si>
  <si>
    <t>INV-2609-022</t>
  </si>
  <si>
    <t>INV-2609-023</t>
  </si>
  <si>
    <t>INV-2609-024</t>
  </si>
  <si>
    <t>INV-2609-025</t>
  </si>
  <si>
    <t>INV-2609-026</t>
  </si>
  <si>
    <t>INV-2609-027</t>
  </si>
  <si>
    <t>INV-2609-028</t>
  </si>
  <si>
    <t>INV-2609-029</t>
  </si>
  <si>
    <t>INV-2609-030</t>
  </si>
  <si>
    <t>INV-2609-031</t>
  </si>
  <si>
    <t>INV-2609-032</t>
  </si>
  <si>
    <t>INV-2609-033</t>
  </si>
  <si>
    <t>INV-2609-034</t>
  </si>
  <si>
    <t>INV-2609-035</t>
  </si>
  <si>
    <t>INV-2609-036</t>
  </si>
  <si>
    <t>INV-2609-037</t>
  </si>
  <si>
    <t>INV-2609-038</t>
  </si>
  <si>
    <t>INV-2609-039</t>
  </si>
  <si>
    <t>INV-2609-040</t>
  </si>
  <si>
    <t>INV-2609-041</t>
  </si>
  <si>
    <t>INV-2609-042</t>
  </si>
  <si>
    <t>INV-2609-043</t>
  </si>
  <si>
    <t>INV-2609-044</t>
  </si>
  <si>
    <t>INV-2609-045</t>
  </si>
  <si>
    <t>INV-2609-046</t>
  </si>
  <si>
    <t>INV-2609-047</t>
  </si>
  <si>
    <t>INV-2609-048</t>
  </si>
  <si>
    <t>INV-2609-049</t>
  </si>
  <si>
    <t>INV-2609-050</t>
  </si>
  <si>
    <t>INV-2609-051</t>
  </si>
  <si>
    <t>INV-2609-052</t>
  </si>
  <si>
    <t>INV-2609-053</t>
  </si>
  <si>
    <t>INV-2609-054</t>
  </si>
  <si>
    <t>INV-2609-055</t>
  </si>
  <si>
    <t>INV-2609-056</t>
  </si>
  <si>
    <t>Line</t>
  </si>
  <si>
    <t>Subject</t>
  </si>
  <si>
    <t>Description</t>
  </si>
  <si>
    <t>Qty</t>
  </si>
  <si>
    <t>Unit Fee</t>
  </si>
  <si>
    <t>Line Total</t>
  </si>
  <si>
    <t>Mathematics</t>
  </si>
  <si>
    <t>Mathematics – Form 1 – Jul 2026 (4 classes)</t>
  </si>
  <si>
    <t>English</t>
  </si>
  <si>
    <t>English – Form 1 – Jul 2026 (4 classes)</t>
  </si>
  <si>
    <t>English – Form 5 – Jul 2026 (4 classes)</t>
  </si>
  <si>
    <t>Bahasa Melayu</t>
  </si>
  <si>
    <t>Bahasa Melayu – Form 1 – Jul 2026 (4 classes)</t>
  </si>
  <si>
    <t>Mathematics – Std 6 – Jul 2026 (4 classes)</t>
  </si>
  <si>
    <t>Chinese</t>
  </si>
  <si>
    <t>Chinese – Std 6 – Jul 2026 (4 classes)</t>
  </si>
  <si>
    <t>Mathematics – Form 2 – Jul 2026 (4 classes)</t>
  </si>
  <si>
    <t>Chinese – Std 4 – Jul 2026 (4 classes)</t>
  </si>
  <si>
    <t>Bahasa Melayu – Std 4 – Jul 2026 (4 classes)</t>
  </si>
  <si>
    <t>Science</t>
  </si>
  <si>
    <t>Science – Std 4 – Jul 2026 (4 classes)</t>
  </si>
  <si>
    <t>Science – Form 2 – Jul 2026 (4 classes)</t>
  </si>
  <si>
    <t>Physics</t>
  </si>
  <si>
    <t>Physics – Form 5 – Jul 2026 (4 classes)</t>
  </si>
  <si>
    <t>Chemistry</t>
  </si>
  <si>
    <t>Chemistry – Form 5 – Jul 2026 (4 classes)</t>
  </si>
  <si>
    <t>Mathematics – Std 4 – Jul 2026 (4 classes)</t>
  </si>
  <si>
    <t>English – Form 3 – Jul 2026 (4 classes)</t>
  </si>
  <si>
    <t>Science – Form 3 – Jul 2026 (4 classes)</t>
  </si>
  <si>
    <t>English – Form 2 – Jul 2026 (4 classes)</t>
  </si>
  <si>
    <t>Bahasa Melayu – Std 5 – Jul 2026 (4 classes)</t>
  </si>
  <si>
    <t>Chinese – Std 5 – Jul 2026 (4 classes)</t>
  </si>
  <si>
    <t>Mathematics – Std 5 – Jul 2026 (4 classes)</t>
  </si>
  <si>
    <t>English – Std 6 – Jul 2026 (4 classes)</t>
  </si>
  <si>
    <t>Bahasa Melayu – Std 6 – Jul 2026 (4 classes)</t>
  </si>
  <si>
    <t>English – Form 4 – Jul 2026 (4 classes)</t>
  </si>
  <si>
    <t>Add Maths</t>
  </si>
  <si>
    <t>Add Maths – Form 4 – Jul 2026 (4 classes)</t>
  </si>
  <si>
    <t>Mathematics – Form 4 – Jul 2026 (4 classes)</t>
  </si>
  <si>
    <t>English – Std 4 – Jul 2026 (4 classes)</t>
  </si>
  <si>
    <t>Bahasa Melayu – Form 3 – Jul 2026 (4 classes)</t>
  </si>
  <si>
    <t>Add Maths – Form 5 – Jul 2026 (4 classes)</t>
  </si>
  <si>
    <t>Mathematics – Form 5 – Jul 2026 (4 classes)</t>
  </si>
  <si>
    <t>Physics – Form 4 – Jul 2026 (4 classes)</t>
  </si>
  <si>
    <t>Science – Std 5 – Jul 2026 (4 classes)</t>
  </si>
  <si>
    <t>Bahasa Melayu – Form 2 – Jul 2026 (4 classes)</t>
  </si>
  <si>
    <t>Chemistry – Form 4 – Jul 2026 (4 classes)</t>
  </si>
  <si>
    <t>Mathematics – Form 3 – Jul 2026 (4 classes)</t>
  </si>
  <si>
    <t>Mathematics – Form 1 – Aug 2026 (4 classes)</t>
  </si>
  <si>
    <t>English – Form 1 – Aug 2026 (4 classes)</t>
  </si>
  <si>
    <t>English – Form 5 – Aug 2026 (4 classes)</t>
  </si>
  <si>
    <t>Bahasa Melayu – Form 1 – Aug 2026 (4 classes)</t>
  </si>
  <si>
    <t>Mathematics – Std 6 – Aug 2026 (4 classes)</t>
  </si>
  <si>
    <t>Chinese – Std 6 – Aug 2026 (4 classes)</t>
  </si>
  <si>
    <t>Mathematics – Form 2 – Aug 2026 (4 classes)</t>
  </si>
  <si>
    <t>Chinese – Std 4 – Aug 2026 (4 classes)</t>
  </si>
  <si>
    <t>Bahasa Melayu – Std 4 – Aug 2026 (4 classes)</t>
  </si>
  <si>
    <t>Science – Std 4 – Aug 2026 (4 classes)</t>
  </si>
  <si>
    <t>Science – Form 2 – Aug 2026 (4 classes)</t>
  </si>
  <si>
    <t>Physics – Form 5 – Aug 2026 (4 classes)</t>
  </si>
  <si>
    <t>Chemistry – Form 5 – Aug 2026 (4 classes)</t>
  </si>
  <si>
    <t>Registration</t>
  </si>
  <si>
    <t>One-off registration fee</t>
  </si>
  <si>
    <t>English – Std 4 – Aug 2026 (4 classes)</t>
  </si>
  <si>
    <t>Mathematics – Std 4 – Aug 2026 (4 classes)</t>
  </si>
  <si>
    <t>English – Form 3 – Aug 2026 (4 classes)</t>
  </si>
  <si>
    <t>Science – Form 3 – Aug 2026 (4 classes)</t>
  </si>
  <si>
    <t>English – Form 2 – Aug 2026 (4 classes)</t>
  </si>
  <si>
    <t>Bahasa Melayu – Std 5 – Aug 2026 (4 classes)</t>
  </si>
  <si>
    <t>Chinese – Std 5 – Aug 2026 (4 classes)</t>
  </si>
  <si>
    <t>Mathematics – Std 5 – Aug 2026 (4 classes)</t>
  </si>
  <si>
    <t>English – Std 6 – Aug 2026 (4 classes)</t>
  </si>
  <si>
    <t>Bahasa Melayu – Std 6 – Aug 2026 (4 classes)</t>
  </si>
  <si>
    <t>Mathematics – Form 4 – Aug 2026 (4 classes)</t>
  </si>
  <si>
    <t>English – Form 4 – Aug 2026 (4 classes)</t>
  </si>
  <si>
    <t>Add Maths – Form 4 – Aug 2026 (4 classes)</t>
  </si>
  <si>
    <t>Bahasa Melayu – Form 3 – Aug 2026 (4 classes)</t>
  </si>
  <si>
    <t>Add Maths – Form 5 – Aug 2026 (4 classes)</t>
  </si>
  <si>
    <t>Mathematics – Form 5 – Aug 2026 (4 classes)</t>
  </si>
  <si>
    <t>Physics – Form 4 – Aug 2026 (4 classes)</t>
  </si>
  <si>
    <t>Science – Std 5 – Aug 2026 (4 classes)</t>
  </si>
  <si>
    <t>Science – Std 6 – Aug 2026 (4 classes)</t>
  </si>
  <si>
    <t>Bahasa Melayu – Form 2 – Aug 2026 (4 classes)</t>
  </si>
  <si>
    <t>Chemistry – Form 4 – Aug 2026 (4 classes)</t>
  </si>
  <si>
    <t>Mathematics – Form 3 – Aug 2026 (4 classes)</t>
  </si>
  <si>
    <t>Science – Std 4 – Sep 2026 (4 classes)</t>
  </si>
  <si>
    <t>Mathematics – Std 4 – Sep 2026 (4 classes)</t>
  </si>
  <si>
    <t>Bahasa Melayu – Std 4 – Sep 2026 (4 classes)</t>
  </si>
  <si>
    <t>Mathematics – Form 1 – Sep 2026 (4 classes)</t>
  </si>
  <si>
    <t>English – Form 1 – Sep 2026 (4 classes)</t>
  </si>
  <si>
    <t>English – Form 5 – Sep 2026 (4 classes)</t>
  </si>
  <si>
    <t>Bahasa Melayu – Form 1 – Sep 2026 (4 classes)</t>
  </si>
  <si>
    <t>Mathematics – Std 6 – Sep 2026 (4 classes)</t>
  </si>
  <si>
    <t>Chinese – Std 6 – Sep 2026 (4 classes)</t>
  </si>
  <si>
    <t>Mathematics – Form 2 – Sep 2026 (4 classes)</t>
  </si>
  <si>
    <t>Chinese – Std 4 – Sep 2026 (4 classes)</t>
  </si>
  <si>
    <t>Science – Form 2 – Sep 2026 (4 classes)</t>
  </si>
  <si>
    <t>Physics – Form 5 – Sep 2026 (4 classes)</t>
  </si>
  <si>
    <t>Chemistry – Form 5 – Sep 2026 (4 classes)</t>
  </si>
  <si>
    <t>English – Std 4 – Sep 2026 (4 classes)</t>
  </si>
  <si>
    <t>English – Form 3 – Sep 2026 (4 classes)</t>
  </si>
  <si>
    <t>Science – Form 3 – Sep 2026 (4 classes)</t>
  </si>
  <si>
    <t>English – Form 2 – Sep 2026 (4 classes)</t>
  </si>
  <si>
    <t>Bahasa Melayu – Std 5 – Sep 2026 (4 classes)</t>
  </si>
  <si>
    <t>Chinese – Std 5 – Sep 2026 (4 classes)</t>
  </si>
  <si>
    <t>Mathematics – Std 5 – Sep 2026 (4 classes)</t>
  </si>
  <si>
    <t>English – Std 6 – Sep 2026 (4 classes)</t>
  </si>
  <si>
    <t>Bahasa Melayu – Std 6 – Sep 2026 (4 classes)</t>
  </si>
  <si>
    <t>Mathematics – Form 4 – Sep 2026 (4 classes)</t>
  </si>
  <si>
    <t>English – Form 4 – Sep 2026 (4 classes)</t>
  </si>
  <si>
    <t>Add Maths – Form 4 – Sep 2026 (4 classes)</t>
  </si>
  <si>
    <t>Bahasa Melayu – Form 3 – Sep 2026 (4 classes)</t>
  </si>
  <si>
    <t>Add Maths – Form 5 – Sep 2026 (4 classes)</t>
  </si>
  <si>
    <t>Mathematics – Form 5 – Sep 2026 (4 classes)</t>
  </si>
  <si>
    <t>Physics – Form 4 – Sep 2026 (4 classes)</t>
  </si>
  <si>
    <t>Science – Std 5 – Sep 2026 (4 classes)</t>
  </si>
  <si>
    <t>Science – Std 6 – Sep 2026 (4 classes)</t>
  </si>
  <si>
    <t>Bahasa Melayu – Form 2 – Sep 2026 (4 classes)</t>
  </si>
  <si>
    <t>Chemistry – Form 4 – Sep 2026 (4 classes)</t>
  </si>
  <si>
    <t>Mathematics – Form 3 – Sep 2026 (4 classes)</t>
  </si>
  <si>
    <t>Receipt No</t>
  </si>
  <si>
    <t>Received On</t>
  </si>
  <si>
    <t>Amount</t>
  </si>
  <si>
    <t>Method</t>
  </si>
  <si>
    <t>RC-00001</t>
  </si>
  <si>
    <t>Cash</t>
  </si>
  <si>
    <t>RC-00002</t>
  </si>
  <si>
    <t>DuitNow</t>
  </si>
  <si>
    <t>RC-00003</t>
  </si>
  <si>
    <t>Cheque</t>
  </si>
  <si>
    <t>RC-00004</t>
  </si>
  <si>
    <t>RC-00005</t>
  </si>
  <si>
    <t>RC-00006</t>
  </si>
  <si>
    <t>RC-00007</t>
  </si>
  <si>
    <t>RC-00008</t>
  </si>
  <si>
    <t>RC-00009</t>
  </si>
  <si>
    <t>RC-00010</t>
  </si>
  <si>
    <t>RC-00011</t>
  </si>
  <si>
    <t>RC-00012</t>
  </si>
  <si>
    <t>Online transfer</t>
  </si>
  <si>
    <t>RC-00013</t>
  </si>
  <si>
    <t>RC-00014</t>
  </si>
  <si>
    <t>RC-00015</t>
  </si>
  <si>
    <t>RC-00016</t>
  </si>
  <si>
    <t>RC-00017</t>
  </si>
  <si>
    <t>RC-00018</t>
  </si>
  <si>
    <t>RC-00019</t>
  </si>
  <si>
    <t>RC-00020</t>
  </si>
  <si>
    <t>RC-00021</t>
  </si>
  <si>
    <t>RC-00022</t>
  </si>
  <si>
    <t>RC-00023</t>
  </si>
  <si>
    <t>RC-00024</t>
  </si>
  <si>
    <t>RC-00025</t>
  </si>
  <si>
    <t>RC-00026</t>
  </si>
  <si>
    <t>RC-00027</t>
  </si>
  <si>
    <t>RC-00028</t>
  </si>
  <si>
    <t>RC-00029</t>
  </si>
  <si>
    <t>RC-00030</t>
  </si>
  <si>
    <t>RC-00031</t>
  </si>
  <si>
    <t>RC-00032</t>
  </si>
  <si>
    <t>RC-00033</t>
  </si>
  <si>
    <t>RC-00034</t>
  </si>
  <si>
    <t>RC-00035</t>
  </si>
  <si>
    <t>RC-00036</t>
  </si>
  <si>
    <t>RC-00037</t>
  </si>
  <si>
    <t>RC-00038</t>
  </si>
  <si>
    <t>RC-00039</t>
  </si>
  <si>
    <t>RC-00040</t>
  </si>
  <si>
    <t>RC-00041</t>
  </si>
  <si>
    <t>RC-00042</t>
  </si>
  <si>
    <t>RC-00043</t>
  </si>
  <si>
    <t>RC-00044</t>
  </si>
  <si>
    <t>RC-00045</t>
  </si>
  <si>
    <t>RC-00046</t>
  </si>
  <si>
    <t>RC-00047</t>
  </si>
  <si>
    <t>RC-00048</t>
  </si>
  <si>
    <t>RC-00049</t>
  </si>
  <si>
    <t>RC-00050</t>
  </si>
  <si>
    <t>RC-00051</t>
  </si>
  <si>
    <t>RC-00052</t>
  </si>
  <si>
    <t>RC-00053</t>
  </si>
  <si>
    <t>RC-00054</t>
  </si>
  <si>
    <t>RC-00055</t>
  </si>
  <si>
    <t>RC-00056</t>
  </si>
  <si>
    <t>RC-00057</t>
  </si>
  <si>
    <t>RC-00058</t>
  </si>
  <si>
    <t>RC-00059</t>
  </si>
  <si>
    <t>RC-00060</t>
  </si>
  <si>
    <t>RC-00061</t>
  </si>
  <si>
    <t>RC-00062</t>
  </si>
  <si>
    <t>RC-00063</t>
  </si>
  <si>
    <t>RC-00064</t>
  </si>
  <si>
    <t>RC-00065</t>
  </si>
  <si>
    <t>RC-00066</t>
  </si>
  <si>
    <t>RC-00067</t>
  </si>
  <si>
    <t>RC-00068</t>
  </si>
  <si>
    <t>RC-00069</t>
  </si>
  <si>
    <t>RC-00070</t>
  </si>
  <si>
    <t>RC-00071</t>
  </si>
  <si>
    <t>RC-00072</t>
  </si>
  <si>
    <t>RC-00073</t>
  </si>
  <si>
    <t>RC-00074</t>
  </si>
  <si>
    <t>RC-00075</t>
  </si>
  <si>
    <t>RC-00076</t>
  </si>
  <si>
    <t>RC-00077</t>
  </si>
  <si>
    <t>RC-00078</t>
  </si>
  <si>
    <t>RC-00079</t>
  </si>
  <si>
    <t>RC-00080</t>
  </si>
  <si>
    <t>RC-00081</t>
  </si>
  <si>
    <t>RC-00082</t>
  </si>
  <si>
    <t>RC-00083</t>
  </si>
  <si>
    <t>RC-00084</t>
  </si>
  <si>
    <t>RC-00085</t>
  </si>
  <si>
    <t>RC-00086</t>
  </si>
  <si>
    <t>RC-00087</t>
  </si>
  <si>
    <t>RC-00088</t>
  </si>
  <si>
    <t>RC-00089</t>
  </si>
  <si>
    <t>RC-00090</t>
  </si>
  <si>
    <t>RC-00091</t>
  </si>
  <si>
    <t>RC-00092</t>
  </si>
  <si>
    <t>RC-00093</t>
  </si>
  <si>
    <t>RC-00094</t>
  </si>
  <si>
    <t>RC-00095</t>
  </si>
  <si>
    <t>RC-00096</t>
  </si>
  <si>
    <t>RC-00097</t>
  </si>
  <si>
    <t>RC-00098</t>
  </si>
  <si>
    <t>RC-00099</t>
  </si>
  <si>
    <t>RC-00100</t>
  </si>
  <si>
    <t>RC-00101</t>
  </si>
  <si>
    <t>RC-00102</t>
  </si>
  <si>
    <t>RC-00103</t>
  </si>
  <si>
    <t>RC-00104</t>
  </si>
  <si>
    <t>RC-00105</t>
  </si>
  <si>
    <t>RC-00106</t>
  </si>
  <si>
    <t>RC-00107</t>
  </si>
  <si>
    <t>RC-00108</t>
  </si>
  <si>
    <t>RC-00109</t>
  </si>
  <si>
    <t>RC-00110</t>
  </si>
  <si>
    <t>RC-00111</t>
  </si>
  <si>
    <t>RC-00112</t>
  </si>
  <si>
    <t>RC-00113</t>
  </si>
  <si>
    <t>RC-00114</t>
  </si>
  <si>
    <t>RC-00115</t>
  </si>
  <si>
    <t>RC-00116</t>
  </si>
  <si>
    <t>RC-00117</t>
  </si>
  <si>
    <t>RC-00118</t>
  </si>
  <si>
    <t>RC-00119</t>
  </si>
  <si>
    <t>RC-00120</t>
  </si>
  <si>
    <t>RC-00121</t>
  </si>
  <si>
    <t>RC-00122</t>
  </si>
  <si>
    <t>RC-00123</t>
  </si>
  <si>
    <t>RC-00124</t>
  </si>
  <si>
    <t>RC-00125</t>
  </si>
  <si>
    <t>RC-00126</t>
  </si>
  <si>
    <t>RC-00127</t>
  </si>
  <si>
    <t>RC-00128</t>
  </si>
  <si>
    <t>RC-00129</t>
  </si>
  <si>
    <t>RC-00130</t>
  </si>
  <si>
    <t>RC-00131</t>
  </si>
  <si>
    <t>RC-00132</t>
  </si>
  <si>
    <t>RC-00133</t>
  </si>
  <si>
    <t>RC-00134</t>
  </si>
  <si>
    <t>RC-00135</t>
  </si>
  <si>
    <t>RC-00136</t>
  </si>
  <si>
    <t>RC-00137</t>
  </si>
  <si>
    <t>RC-00138</t>
  </si>
  <si>
    <t>RC-00139</t>
  </si>
  <si>
    <t>RC-00140</t>
  </si>
  <si>
    <t>RC-00141</t>
  </si>
  <si>
    <t>RC-00142</t>
  </si>
  <si>
    <t>RC-00143</t>
  </si>
  <si>
    <t>RC-00144</t>
  </si>
  <si>
    <t>RC-00145</t>
  </si>
  <si>
    <t>RC-00146</t>
  </si>
  <si>
    <t>RC-00147</t>
  </si>
  <si>
    <t>RC-00148</t>
  </si>
  <si>
    <t>Session</t>
  </si>
  <si>
    <t>Date</t>
  </si>
  <si>
    <t>Tutor</t>
  </si>
  <si>
    <t>Enrolled</t>
  </si>
  <si>
    <t>Present</t>
  </si>
  <si>
    <t>Room</t>
  </si>
  <si>
    <t>CL-0001</t>
  </si>
  <si>
    <t>Ms Sarah</t>
  </si>
  <si>
    <t>Room B</t>
  </si>
  <si>
    <t>CL-0002</t>
  </si>
  <si>
    <t>CL-0003</t>
  </si>
  <si>
    <t>Room A</t>
  </si>
  <si>
    <t>CL-0004</t>
  </si>
  <si>
    <t>Ms Wong</t>
  </si>
  <si>
    <t>Online</t>
  </si>
  <si>
    <t>CL-0005</t>
  </si>
  <si>
    <t>Cikgu Aina</t>
  </si>
  <si>
    <t>CL-0006</t>
  </si>
  <si>
    <t>Room C</t>
  </si>
  <si>
    <t>CL-0007</t>
  </si>
  <si>
    <t>陈老师</t>
  </si>
  <si>
    <t>CL-0008</t>
  </si>
  <si>
    <t>CL-0009</t>
  </si>
  <si>
    <t>CL-0010</t>
  </si>
  <si>
    <t>CL-0011</t>
  </si>
  <si>
    <t>CL-0012</t>
  </si>
  <si>
    <t>CL-0013</t>
  </si>
  <si>
    <t>CL-0014</t>
  </si>
  <si>
    <t>CL-0015</t>
  </si>
  <si>
    <t>CL-0016</t>
  </si>
  <si>
    <t>CL-0017</t>
  </si>
  <si>
    <t>Ms Kavitha</t>
  </si>
  <si>
    <t>CL-0018</t>
  </si>
  <si>
    <t>CL-0019</t>
  </si>
  <si>
    <t>Dr Farid</t>
  </si>
  <si>
    <t>CL-0020</t>
  </si>
  <si>
    <t>CL-0021</t>
  </si>
  <si>
    <t>CL-0022</t>
  </si>
  <si>
    <t>CL-0023</t>
  </si>
  <si>
    <t>CL-0024</t>
  </si>
  <si>
    <t>CL-0025</t>
  </si>
  <si>
    <t>Mr Lim</t>
  </si>
  <si>
    <t>CL-0026</t>
  </si>
  <si>
    <t>CL-0027</t>
  </si>
  <si>
    <t>CL-0028</t>
  </si>
  <si>
    <t>CL-0029</t>
  </si>
  <si>
    <t>CL-0030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</si>
</sst>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"/>
  </numFmts>
  <fonts count="4" x14ac:knownFonts="1">
    <font>
      <sz val="11"/>
      <color theme="1"/>
      <name val="Calibri"/>
      <family val="2"/>
      <scheme val="minor"/>
    </font>
    <font>
      <b/>
      <sz val="14"/>
      <name val="Arial"/>
    </font>
    <font>
      <b/>
      <sz val="10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2" fillId="2" borderId="0" xfId="0" applyFont="1" applyFill="1" applyAlignment="1">
      <alignment vertical="center"/>
    </xf>
    <xf numFmtId="0" fontId="3" fillId="0" borderId="0" xfId="0" applyFont="1"/>
    <xf numFmtId="165" fontId="3" fillId="0" borderId="0" xfId="0" applyNumberFormat="1" applyFont="1"/>
    <xf numFmtId="4" fontId="3" fillId="0" borderId="0" xfId="0" applyNumberFormat="1" applyFont="1"/>
    <xf numFmtId="1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/>
  </sheetViews>
  <sheetFormatPr defaultRowHeight="14.4" x14ac:dyDescent="0.3"/>
  <cols>
    <col min="1" max="1" width="22" customWidth="1"/>
    <col min="2" max="2" width="100" customWidth="1"/>
  </cols>
  <sheetData>
    <row r="1" spans="1:2" ht="17.399999999999999" x14ac:dyDescent="0.3">
      <c r="A1" s="1" t="s">
        <v>0</v>
      </c>
    </row>
    <row r="3" spans="1:2" ht="26.4" x14ac:dyDescent="0.3">
      <c r="A3" s="2" t="s">
        <v>1</v>
      </c>
      <c r="B3" s="3" t="s">
        <v>2</v>
      </c>
    </row>
    <row r="4" spans="1:2" ht="26.4" x14ac:dyDescent="0.3">
      <c r="A4" s="2" t="s">
        <v>3</v>
      </c>
      <c r="B4" s="3" t="s">
        <v>4</v>
      </c>
    </row>
    <row r="5" spans="1:2" x14ac:dyDescent="0.3">
      <c r="A5" s="2" t="s">
        <v>5</v>
      </c>
      <c r="B5" s="3" t="s">
        <v>6</v>
      </c>
    </row>
    <row r="6" spans="1:2" ht="26.4" x14ac:dyDescent="0.3">
      <c r="A6" s="2" t="s">
        <v>7</v>
      </c>
      <c r="B6" s="3" t="s">
        <v>8</v>
      </c>
    </row>
    <row r="7" spans="1:2" ht="26.4" x14ac:dyDescent="0.3">
      <c r="A7" s="2" t="s">
        <v>9</v>
      </c>
      <c r="B7" s="3" t="s">
        <v>10</v>
      </c>
    </row>
    <row r="8" spans="1:2" x14ac:dyDescent="0.3">
      <c r="A8" s="2" t="s">
        <v>11</v>
      </c>
      <c r="B8" s="3" t="s">
        <v>12</v>
      </c>
    </row>
    <row r="9" spans="1:2" x14ac:dyDescent="0.3">
      <c r="A9" s="2" t="s">
        <v>13</v>
      </c>
      <c r="B9" s="3" t="s">
        <v>14</v>
      </c>
    </row>
    <row r="10" spans="1:2" ht="26.4" x14ac:dyDescent="0.3">
      <c r="A10" s="2" t="s">
        <v>15</v>
      </c>
      <c r="B10" s="3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" customWidth="1"/>
    <col min="2" max="3" width="22" customWidth="1"/>
    <col min="4" max="4" width="15" customWidth="1"/>
    <col min="5" max="5" width="9" customWidth="1"/>
    <col min="6" max="6" width="12" customWidth="1"/>
    <col min="7" max="7" width="9" customWidth="1"/>
  </cols>
  <sheetData>
    <row r="1" spans="1:7" x14ac:dyDescent="0.3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</row>
    <row r="2" spans="1:7" x14ac:dyDescent="0.3">
      <c r="A2" s="5" t="s">
        <v>24</v>
      </c>
      <c r="B2" s="5" t="s">
        <v>25</v>
      </c>
      <c r="C2" s="5" t="s">
        <v>26</v>
      </c>
      <c r="D2" s="5" t="s">
        <v>27</v>
      </c>
      <c r="E2" s="5" t="s">
        <v>28</v>
      </c>
      <c r="F2" s="6">
        <v>46263</v>
      </c>
      <c r="G2" s="5" t="s">
        <v>29</v>
      </c>
    </row>
    <row r="3" spans="1:7" x14ac:dyDescent="0.3">
      <c r="A3" s="5" t="s">
        <v>30</v>
      </c>
      <c r="B3" s="5" t="s">
        <v>31</v>
      </c>
      <c r="C3" s="5" t="s">
        <v>32</v>
      </c>
      <c r="D3" s="5" t="s">
        <v>33</v>
      </c>
      <c r="E3" s="5" t="s">
        <v>34</v>
      </c>
      <c r="F3" s="6">
        <v>45794</v>
      </c>
      <c r="G3" s="5" t="s">
        <v>29</v>
      </c>
    </row>
    <row r="4" spans="1:7" x14ac:dyDescent="0.3">
      <c r="A4" s="5" t="s">
        <v>35</v>
      </c>
      <c r="B4" s="5" t="s">
        <v>36</v>
      </c>
      <c r="C4" s="5" t="s">
        <v>37</v>
      </c>
      <c r="D4" s="5" t="s">
        <v>38</v>
      </c>
      <c r="E4" s="5" t="s">
        <v>39</v>
      </c>
      <c r="F4" s="6">
        <v>45830</v>
      </c>
      <c r="G4" s="5" t="s">
        <v>29</v>
      </c>
    </row>
    <row r="5" spans="1:7" x14ac:dyDescent="0.3">
      <c r="A5" s="5" t="s">
        <v>40</v>
      </c>
      <c r="B5" s="5" t="s">
        <v>41</v>
      </c>
      <c r="C5" s="5" t="s">
        <v>42</v>
      </c>
      <c r="D5" s="5" t="s">
        <v>43</v>
      </c>
      <c r="E5" s="5" t="s">
        <v>34</v>
      </c>
      <c r="F5" s="6">
        <v>46007</v>
      </c>
      <c r="G5" s="5" t="s">
        <v>29</v>
      </c>
    </row>
    <row r="6" spans="1:7" x14ac:dyDescent="0.3">
      <c r="A6" s="5" t="s">
        <v>44</v>
      </c>
      <c r="B6" s="5" t="s">
        <v>45</v>
      </c>
      <c r="C6" s="5" t="s">
        <v>46</v>
      </c>
      <c r="D6" s="5" t="s">
        <v>47</v>
      </c>
      <c r="E6" s="5" t="s">
        <v>39</v>
      </c>
      <c r="F6" s="6">
        <v>45842</v>
      </c>
      <c r="G6" s="5" t="s">
        <v>29</v>
      </c>
    </row>
    <row r="7" spans="1:7" x14ac:dyDescent="0.3">
      <c r="A7" s="5" t="s">
        <v>48</v>
      </c>
      <c r="B7" s="5" t="s">
        <v>49</v>
      </c>
      <c r="C7" s="5" t="s">
        <v>50</v>
      </c>
      <c r="D7" s="5" t="s">
        <v>51</v>
      </c>
      <c r="E7" s="5" t="s">
        <v>52</v>
      </c>
      <c r="F7" s="6">
        <v>45858</v>
      </c>
      <c r="G7" s="5" t="s">
        <v>29</v>
      </c>
    </row>
    <row r="8" spans="1:7" x14ac:dyDescent="0.3">
      <c r="A8" s="5" t="s">
        <v>53</v>
      </c>
      <c r="B8" s="5" t="s">
        <v>54</v>
      </c>
      <c r="C8" s="5" t="s">
        <v>55</v>
      </c>
      <c r="D8" s="5" t="s">
        <v>56</v>
      </c>
      <c r="E8" s="5" t="s">
        <v>57</v>
      </c>
      <c r="F8" s="6">
        <v>46102</v>
      </c>
      <c r="G8" s="5" t="s">
        <v>29</v>
      </c>
    </row>
    <row r="9" spans="1:7" x14ac:dyDescent="0.3">
      <c r="A9" s="5" t="s">
        <v>58</v>
      </c>
      <c r="B9" s="5" t="s">
        <v>59</v>
      </c>
      <c r="C9" s="5" t="s">
        <v>60</v>
      </c>
      <c r="D9" s="5" t="s">
        <v>61</v>
      </c>
      <c r="E9" s="5" t="s">
        <v>28</v>
      </c>
      <c r="F9" s="6">
        <v>45889</v>
      </c>
      <c r="G9" s="5" t="s">
        <v>29</v>
      </c>
    </row>
    <row r="10" spans="1:7" x14ac:dyDescent="0.3">
      <c r="A10" s="5" t="s">
        <v>62</v>
      </c>
      <c r="B10" s="5" t="s">
        <v>63</v>
      </c>
      <c r="C10" s="5" t="s">
        <v>26</v>
      </c>
      <c r="D10" s="5" t="s">
        <v>64</v>
      </c>
      <c r="E10" s="5" t="s">
        <v>28</v>
      </c>
      <c r="F10" s="6">
        <v>46023</v>
      </c>
      <c r="G10" s="5" t="s">
        <v>29</v>
      </c>
    </row>
    <row r="11" spans="1:7" x14ac:dyDescent="0.3">
      <c r="A11" s="5" t="s">
        <v>65</v>
      </c>
      <c r="B11" s="5" t="s">
        <v>66</v>
      </c>
      <c r="C11" s="5" t="s">
        <v>67</v>
      </c>
      <c r="D11" s="5" t="s">
        <v>68</v>
      </c>
      <c r="E11" s="5" t="s">
        <v>28</v>
      </c>
      <c r="F11" s="6">
        <v>46098</v>
      </c>
      <c r="G11" s="5" t="s">
        <v>69</v>
      </c>
    </row>
    <row r="12" spans="1:7" x14ac:dyDescent="0.3">
      <c r="A12" s="5" t="s">
        <v>70</v>
      </c>
      <c r="B12" s="5" t="s">
        <v>71</v>
      </c>
      <c r="C12" s="5" t="s">
        <v>72</v>
      </c>
      <c r="D12" s="5" t="s">
        <v>73</v>
      </c>
      <c r="E12" s="5" t="s">
        <v>57</v>
      </c>
      <c r="F12" s="6">
        <v>45912</v>
      </c>
      <c r="G12" s="5" t="s">
        <v>29</v>
      </c>
    </row>
    <row r="13" spans="1:7" x14ac:dyDescent="0.3">
      <c r="A13" s="5" t="s">
        <v>74</v>
      </c>
      <c r="B13" s="5" t="s">
        <v>75</v>
      </c>
      <c r="C13" s="5" t="s">
        <v>76</v>
      </c>
      <c r="D13" s="5" t="s">
        <v>77</v>
      </c>
      <c r="E13" s="5" t="s">
        <v>39</v>
      </c>
      <c r="F13" s="6">
        <v>46009</v>
      </c>
      <c r="G13" s="5" t="s">
        <v>29</v>
      </c>
    </row>
    <row r="14" spans="1:7" x14ac:dyDescent="0.3">
      <c r="A14" s="5" t="s">
        <v>78</v>
      </c>
      <c r="B14" s="5" t="s">
        <v>79</v>
      </c>
      <c r="C14" s="5" t="s">
        <v>76</v>
      </c>
      <c r="D14" s="5" t="s">
        <v>80</v>
      </c>
      <c r="E14" s="5" t="s">
        <v>28</v>
      </c>
      <c r="F14" s="6">
        <v>46261</v>
      </c>
      <c r="G14" s="5" t="s">
        <v>29</v>
      </c>
    </row>
    <row r="15" spans="1:7" x14ac:dyDescent="0.3">
      <c r="A15" s="5" t="s">
        <v>81</v>
      </c>
      <c r="B15" s="5" t="s">
        <v>31</v>
      </c>
      <c r="C15" s="5" t="s">
        <v>32</v>
      </c>
      <c r="D15" s="5" t="s">
        <v>82</v>
      </c>
      <c r="E15" s="5" t="s">
        <v>28</v>
      </c>
      <c r="F15" s="6">
        <v>46024</v>
      </c>
      <c r="G15" s="5" t="s">
        <v>29</v>
      </c>
    </row>
    <row r="16" spans="1:7" x14ac:dyDescent="0.3">
      <c r="A16" s="5" t="s">
        <v>83</v>
      </c>
      <c r="B16" s="5" t="s">
        <v>84</v>
      </c>
      <c r="C16" s="5" t="s">
        <v>85</v>
      </c>
      <c r="D16" s="5" t="s">
        <v>86</v>
      </c>
      <c r="E16" s="5" t="s">
        <v>87</v>
      </c>
      <c r="F16" s="6">
        <v>46031</v>
      </c>
      <c r="G16" s="5" t="s">
        <v>29</v>
      </c>
    </row>
    <row r="17" spans="1:7" x14ac:dyDescent="0.3">
      <c r="A17" s="5" t="s">
        <v>88</v>
      </c>
      <c r="B17" s="5" t="s">
        <v>89</v>
      </c>
      <c r="C17" s="5" t="s">
        <v>76</v>
      </c>
      <c r="D17" s="5" t="s">
        <v>90</v>
      </c>
      <c r="E17" s="5" t="s">
        <v>57</v>
      </c>
      <c r="F17" s="6">
        <v>46121</v>
      </c>
      <c r="G17" s="5" t="s">
        <v>29</v>
      </c>
    </row>
    <row r="18" spans="1:7" x14ac:dyDescent="0.3">
      <c r="A18" s="5" t="s">
        <v>91</v>
      </c>
      <c r="B18" s="5" t="s">
        <v>92</v>
      </c>
      <c r="C18" s="5" t="s">
        <v>93</v>
      </c>
      <c r="D18" s="5" t="s">
        <v>94</v>
      </c>
      <c r="E18" s="5" t="s">
        <v>95</v>
      </c>
      <c r="F18" s="6">
        <v>45817</v>
      </c>
      <c r="G18" s="5" t="s">
        <v>29</v>
      </c>
    </row>
    <row r="19" spans="1:7" x14ac:dyDescent="0.3">
      <c r="A19" s="5" t="s">
        <v>96</v>
      </c>
      <c r="B19" s="5" t="s">
        <v>36</v>
      </c>
      <c r="C19" s="5" t="s">
        <v>37</v>
      </c>
      <c r="D19" s="5" t="s">
        <v>97</v>
      </c>
      <c r="E19" s="5" t="s">
        <v>52</v>
      </c>
      <c r="F19" s="6">
        <v>45749</v>
      </c>
      <c r="G19" s="5" t="s">
        <v>29</v>
      </c>
    </row>
    <row r="20" spans="1:7" x14ac:dyDescent="0.3">
      <c r="A20" s="5" t="s">
        <v>98</v>
      </c>
      <c r="B20" s="5" t="s">
        <v>99</v>
      </c>
      <c r="C20" s="5" t="s">
        <v>100</v>
      </c>
      <c r="D20" s="5" t="s">
        <v>101</v>
      </c>
      <c r="E20" s="5" t="s">
        <v>52</v>
      </c>
      <c r="F20" s="6">
        <v>45714</v>
      </c>
      <c r="G20" s="5" t="s">
        <v>29</v>
      </c>
    </row>
    <row r="21" spans="1:7" x14ac:dyDescent="0.3">
      <c r="A21" s="5" t="s">
        <v>102</v>
      </c>
      <c r="B21" s="5" t="s">
        <v>103</v>
      </c>
      <c r="C21" s="5" t="s">
        <v>72</v>
      </c>
      <c r="D21" s="5" t="s">
        <v>104</v>
      </c>
      <c r="E21" s="5" t="s">
        <v>105</v>
      </c>
      <c r="F21" s="6">
        <v>46244</v>
      </c>
      <c r="G21" s="5" t="s">
        <v>106</v>
      </c>
    </row>
    <row r="22" spans="1:7" x14ac:dyDescent="0.3">
      <c r="A22" s="5" t="s">
        <v>107</v>
      </c>
      <c r="B22" s="5" t="s">
        <v>108</v>
      </c>
      <c r="C22" s="5" t="s">
        <v>109</v>
      </c>
      <c r="D22" s="5" t="s">
        <v>110</v>
      </c>
      <c r="E22" s="5" t="s">
        <v>105</v>
      </c>
      <c r="F22" s="6">
        <v>46099</v>
      </c>
      <c r="G22" s="5" t="s">
        <v>106</v>
      </c>
    </row>
    <row r="23" spans="1:7" x14ac:dyDescent="0.3">
      <c r="A23" s="5" t="s">
        <v>111</v>
      </c>
      <c r="B23" s="5" t="s">
        <v>112</v>
      </c>
      <c r="C23" s="5" t="s">
        <v>113</v>
      </c>
      <c r="D23" s="5" t="s">
        <v>114</v>
      </c>
      <c r="E23" s="5" t="s">
        <v>28</v>
      </c>
      <c r="F23" s="6">
        <v>45928</v>
      </c>
      <c r="G23" s="5" t="s">
        <v>29</v>
      </c>
    </row>
    <row r="24" spans="1:7" x14ac:dyDescent="0.3">
      <c r="A24" s="5" t="s">
        <v>115</v>
      </c>
      <c r="B24" s="5" t="s">
        <v>92</v>
      </c>
      <c r="C24" s="5" t="s">
        <v>93</v>
      </c>
      <c r="D24" s="5" t="s">
        <v>116</v>
      </c>
      <c r="E24" s="5" t="s">
        <v>28</v>
      </c>
      <c r="F24" s="6">
        <v>45854</v>
      </c>
      <c r="G24" s="5" t="s">
        <v>106</v>
      </c>
    </row>
    <row r="25" spans="1:7" x14ac:dyDescent="0.3">
      <c r="A25" s="5" t="s">
        <v>117</v>
      </c>
      <c r="B25" s="5" t="s">
        <v>118</v>
      </c>
      <c r="C25" s="5" t="s">
        <v>60</v>
      </c>
      <c r="D25" s="5" t="s">
        <v>119</v>
      </c>
      <c r="E25" s="5" t="s">
        <v>87</v>
      </c>
      <c r="F25" s="6">
        <v>45812</v>
      </c>
      <c r="G25" s="5" t="s">
        <v>29</v>
      </c>
    </row>
    <row r="26" spans="1:7" x14ac:dyDescent="0.3">
      <c r="A26" s="5" t="s">
        <v>120</v>
      </c>
      <c r="B26" s="5" t="s">
        <v>121</v>
      </c>
      <c r="C26" s="5" t="s">
        <v>122</v>
      </c>
      <c r="D26" s="5" t="s">
        <v>123</v>
      </c>
      <c r="E26" s="5" t="s">
        <v>52</v>
      </c>
      <c r="F26" s="6">
        <v>46025</v>
      </c>
      <c r="G26" s="5" t="s">
        <v>106</v>
      </c>
    </row>
    <row r="27" spans="1:7" x14ac:dyDescent="0.3">
      <c r="A27" s="5" t="s">
        <v>124</v>
      </c>
      <c r="B27" s="5" t="s">
        <v>125</v>
      </c>
      <c r="C27" s="5" t="s">
        <v>126</v>
      </c>
      <c r="D27" s="5" t="s">
        <v>127</v>
      </c>
      <c r="E27" s="5" t="s">
        <v>39</v>
      </c>
      <c r="F27" s="6">
        <v>45759</v>
      </c>
      <c r="G27" s="5" t="s">
        <v>29</v>
      </c>
    </row>
    <row r="28" spans="1:7" x14ac:dyDescent="0.3">
      <c r="A28" s="5" t="s">
        <v>128</v>
      </c>
      <c r="B28" s="5" t="s">
        <v>89</v>
      </c>
      <c r="C28" s="5" t="s">
        <v>76</v>
      </c>
      <c r="D28" s="5" t="s">
        <v>129</v>
      </c>
      <c r="E28" s="5" t="s">
        <v>39</v>
      </c>
      <c r="F28" s="6">
        <v>45726</v>
      </c>
      <c r="G28" s="5" t="s">
        <v>29</v>
      </c>
    </row>
    <row r="29" spans="1:7" x14ac:dyDescent="0.3">
      <c r="A29" s="5" t="s">
        <v>130</v>
      </c>
      <c r="B29" s="5" t="s">
        <v>131</v>
      </c>
      <c r="C29" s="5" t="s">
        <v>132</v>
      </c>
      <c r="D29" s="5" t="s">
        <v>133</v>
      </c>
      <c r="E29" s="5" t="s">
        <v>105</v>
      </c>
      <c r="F29" s="6">
        <v>45975</v>
      </c>
      <c r="G29" s="5" t="s">
        <v>29</v>
      </c>
    </row>
    <row r="30" spans="1:7" x14ac:dyDescent="0.3">
      <c r="A30" s="5" t="s">
        <v>134</v>
      </c>
      <c r="B30" s="5" t="s">
        <v>135</v>
      </c>
      <c r="C30" s="5" t="s">
        <v>136</v>
      </c>
      <c r="D30" s="5" t="s">
        <v>137</v>
      </c>
      <c r="E30" s="5" t="s">
        <v>39</v>
      </c>
      <c r="F30" s="6">
        <v>45872</v>
      </c>
      <c r="G30" s="5" t="s">
        <v>29</v>
      </c>
    </row>
    <row r="31" spans="1:7" x14ac:dyDescent="0.3">
      <c r="A31" s="5" t="s">
        <v>138</v>
      </c>
      <c r="B31" s="5" t="s">
        <v>139</v>
      </c>
      <c r="C31" s="5" t="s">
        <v>72</v>
      </c>
      <c r="D31" s="5" t="s">
        <v>140</v>
      </c>
      <c r="E31" s="5" t="s">
        <v>95</v>
      </c>
      <c r="F31" s="6">
        <v>45709</v>
      </c>
      <c r="G31" s="5" t="s">
        <v>69</v>
      </c>
    </row>
    <row r="32" spans="1:7" x14ac:dyDescent="0.3">
      <c r="A32" s="5" t="s">
        <v>141</v>
      </c>
      <c r="B32" s="5" t="s">
        <v>66</v>
      </c>
      <c r="C32" s="5" t="s">
        <v>67</v>
      </c>
      <c r="D32" s="5" t="s">
        <v>142</v>
      </c>
      <c r="E32" s="5" t="s">
        <v>28</v>
      </c>
      <c r="F32" s="6">
        <v>45774</v>
      </c>
      <c r="G32" s="5" t="s">
        <v>29</v>
      </c>
    </row>
    <row r="33" spans="1:7" x14ac:dyDescent="0.3">
      <c r="A33" s="5" t="s">
        <v>143</v>
      </c>
      <c r="B33" s="5" t="s">
        <v>144</v>
      </c>
      <c r="C33" s="5" t="s">
        <v>145</v>
      </c>
      <c r="D33" s="5" t="s">
        <v>146</v>
      </c>
      <c r="E33" s="5" t="s">
        <v>52</v>
      </c>
      <c r="F33" s="6">
        <v>46242</v>
      </c>
      <c r="G33" s="5" t="s">
        <v>29</v>
      </c>
    </row>
    <row r="34" spans="1:7" x14ac:dyDescent="0.3">
      <c r="A34" s="5" t="s">
        <v>147</v>
      </c>
      <c r="B34" s="5" t="s">
        <v>125</v>
      </c>
      <c r="C34" s="5" t="s">
        <v>126</v>
      </c>
      <c r="D34" s="5" t="s">
        <v>148</v>
      </c>
      <c r="E34" s="5" t="s">
        <v>28</v>
      </c>
      <c r="F34" s="6">
        <v>46062</v>
      </c>
      <c r="G34" s="5" t="s">
        <v>29</v>
      </c>
    </row>
    <row r="35" spans="1:7" x14ac:dyDescent="0.3">
      <c r="A35" s="5" t="s">
        <v>149</v>
      </c>
      <c r="B35" s="5" t="s">
        <v>54</v>
      </c>
      <c r="C35" s="5" t="s">
        <v>55</v>
      </c>
      <c r="D35" s="5" t="s">
        <v>150</v>
      </c>
      <c r="E35" s="5" t="s">
        <v>39</v>
      </c>
      <c r="F35" s="6">
        <v>46246</v>
      </c>
      <c r="G35" s="5" t="s">
        <v>29</v>
      </c>
    </row>
    <row r="36" spans="1:7" x14ac:dyDescent="0.3">
      <c r="A36" s="5" t="s">
        <v>151</v>
      </c>
      <c r="B36" s="5" t="s">
        <v>152</v>
      </c>
      <c r="C36" s="5" t="s">
        <v>153</v>
      </c>
      <c r="D36" s="5" t="s">
        <v>154</v>
      </c>
      <c r="E36" s="5" t="s">
        <v>52</v>
      </c>
      <c r="F36" s="6">
        <v>46189</v>
      </c>
      <c r="G36" s="5" t="s">
        <v>29</v>
      </c>
    </row>
    <row r="37" spans="1:7" x14ac:dyDescent="0.3">
      <c r="A37" s="5" t="s">
        <v>155</v>
      </c>
      <c r="B37" s="5" t="s">
        <v>125</v>
      </c>
      <c r="C37" s="5" t="s">
        <v>126</v>
      </c>
      <c r="D37" s="5" t="s">
        <v>156</v>
      </c>
      <c r="E37" s="5" t="s">
        <v>57</v>
      </c>
      <c r="F37" s="6">
        <v>46032</v>
      </c>
      <c r="G37" s="5" t="s">
        <v>69</v>
      </c>
    </row>
    <row r="38" spans="1:7" x14ac:dyDescent="0.3">
      <c r="A38" s="5" t="s">
        <v>157</v>
      </c>
      <c r="B38" s="5" t="s">
        <v>41</v>
      </c>
      <c r="C38" s="5" t="s">
        <v>42</v>
      </c>
      <c r="D38" s="5" t="s">
        <v>158</v>
      </c>
      <c r="E38" s="5" t="s">
        <v>28</v>
      </c>
      <c r="F38" s="6">
        <v>45961</v>
      </c>
      <c r="G38" s="5" t="s">
        <v>29</v>
      </c>
    </row>
    <row r="39" spans="1:7" x14ac:dyDescent="0.3">
      <c r="A39" s="5" t="s">
        <v>159</v>
      </c>
      <c r="B39" s="5" t="s">
        <v>36</v>
      </c>
      <c r="C39" s="5" t="s">
        <v>37</v>
      </c>
      <c r="D39" s="5" t="s">
        <v>160</v>
      </c>
      <c r="E39" s="5" t="s">
        <v>28</v>
      </c>
      <c r="F39" s="6">
        <v>45978</v>
      </c>
      <c r="G39" s="5" t="s">
        <v>29</v>
      </c>
    </row>
    <row r="40" spans="1:7" x14ac:dyDescent="0.3">
      <c r="A40" s="5" t="s">
        <v>161</v>
      </c>
      <c r="B40" s="5" t="s">
        <v>162</v>
      </c>
      <c r="C40" s="5" t="s">
        <v>163</v>
      </c>
      <c r="D40" s="5" t="s">
        <v>164</v>
      </c>
      <c r="E40" s="5" t="s">
        <v>87</v>
      </c>
      <c r="F40" s="6">
        <v>45752</v>
      </c>
      <c r="G40" s="5" t="s">
        <v>29</v>
      </c>
    </row>
    <row r="41" spans="1:7" x14ac:dyDescent="0.3">
      <c r="A41" s="5" t="s">
        <v>165</v>
      </c>
      <c r="B41" s="5" t="s">
        <v>112</v>
      </c>
      <c r="C41" s="5" t="s">
        <v>113</v>
      </c>
      <c r="D41" s="5" t="s">
        <v>166</v>
      </c>
      <c r="E41" s="5" t="s">
        <v>105</v>
      </c>
      <c r="F41" s="6">
        <v>45975</v>
      </c>
      <c r="G41" s="5" t="s">
        <v>29</v>
      </c>
    </row>
    <row r="42" spans="1:7" x14ac:dyDescent="0.3">
      <c r="A42" s="5" t="s">
        <v>167</v>
      </c>
      <c r="B42" s="5" t="s">
        <v>49</v>
      </c>
      <c r="C42" s="5" t="s">
        <v>50</v>
      </c>
      <c r="D42" s="5" t="s">
        <v>168</v>
      </c>
      <c r="E42" s="5" t="s">
        <v>87</v>
      </c>
      <c r="F42" s="6">
        <v>45879</v>
      </c>
      <c r="G42" s="5" t="s">
        <v>29</v>
      </c>
    </row>
    <row r="43" spans="1:7" x14ac:dyDescent="0.3">
      <c r="A43" s="5" t="s">
        <v>169</v>
      </c>
      <c r="B43" s="5" t="s">
        <v>152</v>
      </c>
      <c r="C43" s="5" t="s">
        <v>153</v>
      </c>
      <c r="D43" s="5" t="s">
        <v>170</v>
      </c>
      <c r="E43" s="5" t="s">
        <v>95</v>
      </c>
      <c r="F43" s="6">
        <v>46163</v>
      </c>
      <c r="G43" s="5" t="s">
        <v>29</v>
      </c>
    </row>
    <row r="44" spans="1:7" x14ac:dyDescent="0.3">
      <c r="A44" s="5" t="s">
        <v>171</v>
      </c>
      <c r="B44" s="5" t="s">
        <v>172</v>
      </c>
      <c r="C44" s="5" t="s">
        <v>173</v>
      </c>
      <c r="D44" s="5" t="s">
        <v>174</v>
      </c>
      <c r="E44" s="5" t="s">
        <v>105</v>
      </c>
      <c r="F44" s="6">
        <v>45998</v>
      </c>
      <c r="G44" s="5" t="s">
        <v>29</v>
      </c>
    </row>
    <row r="45" spans="1:7" x14ac:dyDescent="0.3">
      <c r="A45" s="5" t="s">
        <v>175</v>
      </c>
      <c r="B45" s="5" t="s">
        <v>176</v>
      </c>
      <c r="C45" s="5" t="s">
        <v>76</v>
      </c>
      <c r="D45" s="5" t="s">
        <v>177</v>
      </c>
      <c r="E45" s="5" t="s">
        <v>57</v>
      </c>
      <c r="F45" s="6">
        <v>45880</v>
      </c>
      <c r="G45" s="5" t="s">
        <v>29</v>
      </c>
    </row>
    <row r="46" spans="1:7" x14ac:dyDescent="0.3">
      <c r="A46" s="5" t="s">
        <v>178</v>
      </c>
      <c r="B46" s="5" t="s">
        <v>84</v>
      </c>
      <c r="C46" s="5" t="s">
        <v>85</v>
      </c>
      <c r="D46" s="5" t="s">
        <v>179</v>
      </c>
      <c r="E46" s="5" t="s">
        <v>39</v>
      </c>
      <c r="F46" s="6">
        <v>45844</v>
      </c>
      <c r="G46" s="5" t="s">
        <v>29</v>
      </c>
    </row>
    <row r="47" spans="1:7" x14ac:dyDescent="0.3">
      <c r="A47" s="5" t="s">
        <v>180</v>
      </c>
      <c r="B47" s="5" t="s">
        <v>92</v>
      </c>
      <c r="C47" s="5" t="s">
        <v>93</v>
      </c>
      <c r="D47" s="5" t="s">
        <v>181</v>
      </c>
      <c r="E47" s="5" t="s">
        <v>39</v>
      </c>
      <c r="F47" s="6">
        <v>45901</v>
      </c>
      <c r="G47" s="5" t="s">
        <v>29</v>
      </c>
    </row>
    <row r="48" spans="1:7" x14ac:dyDescent="0.3">
      <c r="A48" s="5" t="s">
        <v>182</v>
      </c>
      <c r="B48" s="5" t="s">
        <v>144</v>
      </c>
      <c r="C48" s="5" t="s">
        <v>145</v>
      </c>
      <c r="D48" s="5" t="s">
        <v>183</v>
      </c>
      <c r="E48" s="5" t="s">
        <v>39</v>
      </c>
      <c r="F48" s="6">
        <v>45808</v>
      </c>
      <c r="G48" s="5" t="s">
        <v>69</v>
      </c>
    </row>
    <row r="49" spans="1:7" x14ac:dyDescent="0.3">
      <c r="A49" s="5" t="s">
        <v>184</v>
      </c>
      <c r="B49" s="5" t="s">
        <v>54</v>
      </c>
      <c r="C49" s="5" t="s">
        <v>55</v>
      </c>
      <c r="D49" s="5" t="s">
        <v>185</v>
      </c>
      <c r="E49" s="5" t="s">
        <v>39</v>
      </c>
      <c r="F49" s="6">
        <v>45692</v>
      </c>
      <c r="G49" s="5" t="s">
        <v>29</v>
      </c>
    </row>
    <row r="50" spans="1:7" x14ac:dyDescent="0.3">
      <c r="A50" s="5" t="s">
        <v>186</v>
      </c>
      <c r="B50" s="5" t="s">
        <v>135</v>
      </c>
      <c r="C50" s="5" t="s">
        <v>136</v>
      </c>
      <c r="D50" s="5" t="s">
        <v>187</v>
      </c>
      <c r="E50" s="5" t="s">
        <v>28</v>
      </c>
      <c r="F50" s="6">
        <v>45841</v>
      </c>
      <c r="G50" s="5" t="s">
        <v>29</v>
      </c>
    </row>
    <row r="51" spans="1:7" x14ac:dyDescent="0.3">
      <c r="A51" s="5" t="s">
        <v>188</v>
      </c>
      <c r="B51" s="5" t="s">
        <v>189</v>
      </c>
      <c r="C51" s="5" t="s">
        <v>190</v>
      </c>
      <c r="D51" s="5" t="s">
        <v>191</v>
      </c>
      <c r="E51" s="5" t="s">
        <v>105</v>
      </c>
      <c r="F51" s="6">
        <v>46068</v>
      </c>
      <c r="G51" s="5" t="s">
        <v>29</v>
      </c>
    </row>
    <row r="52" spans="1:7" x14ac:dyDescent="0.3">
      <c r="A52" s="5" t="s">
        <v>192</v>
      </c>
      <c r="B52" s="5" t="s">
        <v>172</v>
      </c>
      <c r="C52" s="5" t="s">
        <v>173</v>
      </c>
      <c r="D52" s="5" t="s">
        <v>193</v>
      </c>
      <c r="E52" s="5" t="s">
        <v>52</v>
      </c>
      <c r="F52" s="6">
        <v>45857</v>
      </c>
      <c r="G52" s="5" t="s">
        <v>29</v>
      </c>
    </row>
    <row r="53" spans="1:7" x14ac:dyDescent="0.3">
      <c r="A53" s="5" t="s">
        <v>194</v>
      </c>
      <c r="B53" s="5" t="s">
        <v>144</v>
      </c>
      <c r="C53" s="5" t="s">
        <v>145</v>
      </c>
      <c r="D53" s="5" t="s">
        <v>195</v>
      </c>
      <c r="E53" s="5" t="s">
        <v>87</v>
      </c>
      <c r="F53" s="6">
        <v>45663</v>
      </c>
      <c r="G53" s="5" t="s">
        <v>29</v>
      </c>
    </row>
    <row r="54" spans="1:7" x14ac:dyDescent="0.3">
      <c r="A54" s="5" t="s">
        <v>196</v>
      </c>
      <c r="B54" s="5" t="s">
        <v>189</v>
      </c>
      <c r="C54" s="5" t="s">
        <v>190</v>
      </c>
      <c r="D54" s="5" t="s">
        <v>197</v>
      </c>
      <c r="E54" s="5" t="s">
        <v>95</v>
      </c>
      <c r="F54" s="6">
        <v>45997</v>
      </c>
      <c r="G54" s="5" t="s">
        <v>29</v>
      </c>
    </row>
    <row r="55" spans="1:7" x14ac:dyDescent="0.3">
      <c r="A55" s="5" t="s">
        <v>198</v>
      </c>
      <c r="B55" s="5" t="s">
        <v>199</v>
      </c>
      <c r="C55" s="5" t="s">
        <v>200</v>
      </c>
      <c r="D55" s="5" t="s">
        <v>201</v>
      </c>
      <c r="E55" s="5" t="s">
        <v>87</v>
      </c>
      <c r="F55" s="6">
        <v>45940</v>
      </c>
      <c r="G55" s="5" t="s">
        <v>29</v>
      </c>
    </row>
    <row r="56" spans="1:7" x14ac:dyDescent="0.3">
      <c r="A56" s="5" t="s">
        <v>202</v>
      </c>
      <c r="B56" s="5" t="s">
        <v>152</v>
      </c>
      <c r="C56" s="5" t="s">
        <v>153</v>
      </c>
      <c r="D56" s="5" t="s">
        <v>203</v>
      </c>
      <c r="E56" s="5" t="s">
        <v>105</v>
      </c>
      <c r="F56" s="6">
        <v>45770</v>
      </c>
      <c r="G56" s="5" t="s">
        <v>69</v>
      </c>
    </row>
    <row r="57" spans="1:7" x14ac:dyDescent="0.3">
      <c r="A57" s="5" t="s">
        <v>204</v>
      </c>
      <c r="B57" s="5" t="s">
        <v>92</v>
      </c>
      <c r="C57" s="5" t="s">
        <v>93</v>
      </c>
      <c r="D57" s="5" t="s">
        <v>205</v>
      </c>
      <c r="E57" s="5" t="s">
        <v>39</v>
      </c>
      <c r="F57" s="6">
        <v>45942</v>
      </c>
      <c r="G57" s="5" t="s">
        <v>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6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2" width="11" customWidth="1"/>
    <col min="3" max="4" width="12" customWidth="1"/>
    <col min="5" max="5" width="7" customWidth="1"/>
    <col min="6" max="7" width="13" customWidth="1"/>
    <col min="8" max="8" width="11" customWidth="1"/>
    <col min="9" max="9" width="14" customWidth="1"/>
  </cols>
  <sheetData>
    <row r="1" spans="1:9" x14ac:dyDescent="0.3">
      <c r="A1" s="4" t="s">
        <v>206</v>
      </c>
      <c r="B1" s="4" t="s">
        <v>17</v>
      </c>
      <c r="C1" s="4" t="s">
        <v>207</v>
      </c>
      <c r="D1" s="4" t="s">
        <v>208</v>
      </c>
      <c r="E1" s="4" t="s">
        <v>209</v>
      </c>
      <c r="F1" s="4" t="s">
        <v>210</v>
      </c>
      <c r="G1" s="4" t="s">
        <v>211</v>
      </c>
      <c r="H1" s="4" t="s">
        <v>212</v>
      </c>
      <c r="I1" s="4" t="s">
        <v>23</v>
      </c>
    </row>
    <row r="2" spans="1:9" x14ac:dyDescent="0.3">
      <c r="A2" s="5" t="s">
        <v>213</v>
      </c>
      <c r="B2" s="5" t="s">
        <v>30</v>
      </c>
      <c r="C2" s="6">
        <v>46204</v>
      </c>
      <c r="D2" s="6">
        <v>46210</v>
      </c>
      <c r="E2" s="5"/>
      <c r="F2" s="7">
        <f>SUMIFS('Invoice Lines'!$G$2:$G$319,'Invoice Lines'!$A$2:$A$319,A2)</f>
        <v>300</v>
      </c>
      <c r="G2" s="7">
        <f>SUMIFS(Receipts!$D$2:$D$149,Receipts!$B$2:$B$149,A2)</f>
        <v>300</v>
      </c>
      <c r="H2" s="7">
        <f t="shared" ref="H2:H33" si="0">IF(E2="Yes",0,F2-G2)</f>
        <v>0</v>
      </c>
      <c r="I2" s="5" t="str">
        <f t="shared" ref="I2:I33" si="1">IF(E2="Yes","Void",IF(H2&lt;=0,"Paid",IF(G2&gt;0,"Partially Paid","Issued")))</f>
        <v>Paid</v>
      </c>
    </row>
    <row r="3" spans="1:9" x14ac:dyDescent="0.3">
      <c r="A3" s="5" t="s">
        <v>214</v>
      </c>
      <c r="B3" s="5" t="s">
        <v>35</v>
      </c>
      <c r="C3" s="6">
        <v>46204</v>
      </c>
      <c r="D3" s="6">
        <v>46210</v>
      </c>
      <c r="E3" s="5"/>
      <c r="F3" s="7">
        <f>SUMIFS('Invoice Lines'!$G$2:$G$319,'Invoice Lines'!$A$2:$A$319,A3)</f>
        <v>180</v>
      </c>
      <c r="G3" s="7">
        <f>SUMIFS(Receipts!$D$2:$D$149,Receipts!$B$2:$B$149,A3)</f>
        <v>180</v>
      </c>
      <c r="H3" s="7">
        <f t="shared" si="0"/>
        <v>0</v>
      </c>
      <c r="I3" s="5" t="str">
        <f t="shared" si="1"/>
        <v>Paid</v>
      </c>
    </row>
    <row r="4" spans="1:9" x14ac:dyDescent="0.3">
      <c r="A4" s="5" t="s">
        <v>215</v>
      </c>
      <c r="B4" s="5" t="s">
        <v>40</v>
      </c>
      <c r="C4" s="6">
        <v>46204</v>
      </c>
      <c r="D4" s="6">
        <v>46210</v>
      </c>
      <c r="E4" s="5"/>
      <c r="F4" s="7">
        <f>SUMIFS('Invoice Lines'!$G$2:$G$319,'Invoice Lines'!$A$2:$A$319,A4)</f>
        <v>300</v>
      </c>
      <c r="G4" s="7">
        <f>SUMIFS(Receipts!$D$2:$D$149,Receipts!$B$2:$B$149,A4)</f>
        <v>300</v>
      </c>
      <c r="H4" s="7">
        <f t="shared" si="0"/>
        <v>0</v>
      </c>
      <c r="I4" s="5" t="str">
        <f t="shared" si="1"/>
        <v>Paid</v>
      </c>
    </row>
    <row r="5" spans="1:9" x14ac:dyDescent="0.3">
      <c r="A5" s="5" t="s">
        <v>216</v>
      </c>
      <c r="B5" s="5" t="s">
        <v>44</v>
      </c>
      <c r="C5" s="6">
        <v>46204</v>
      </c>
      <c r="D5" s="6">
        <v>46210</v>
      </c>
      <c r="E5" s="5"/>
      <c r="F5" s="7">
        <f>SUMIFS('Invoice Lines'!$G$2:$G$319,'Invoice Lines'!$A$2:$A$319,A5)</f>
        <v>180</v>
      </c>
      <c r="G5" s="7">
        <f>SUMIFS(Receipts!$D$2:$D$149,Receipts!$B$2:$B$149,A5)</f>
        <v>180</v>
      </c>
      <c r="H5" s="7">
        <f t="shared" si="0"/>
        <v>0</v>
      </c>
      <c r="I5" s="5" t="str">
        <f t="shared" si="1"/>
        <v>Paid</v>
      </c>
    </row>
    <row r="6" spans="1:9" x14ac:dyDescent="0.3">
      <c r="A6" s="5" t="s">
        <v>217</v>
      </c>
      <c r="B6" s="5" t="s">
        <v>48</v>
      </c>
      <c r="C6" s="6">
        <v>46204</v>
      </c>
      <c r="D6" s="6">
        <v>46210</v>
      </c>
      <c r="E6" s="5"/>
      <c r="F6" s="7">
        <f>SUMIFS('Invoice Lines'!$G$2:$G$319,'Invoice Lines'!$A$2:$A$319,A6)</f>
        <v>240</v>
      </c>
      <c r="G6" s="7">
        <f>SUMIFS(Receipts!$D$2:$D$149,Receipts!$B$2:$B$149,A6)</f>
        <v>240</v>
      </c>
      <c r="H6" s="7">
        <f t="shared" si="0"/>
        <v>0</v>
      </c>
      <c r="I6" s="5" t="str">
        <f t="shared" si="1"/>
        <v>Paid</v>
      </c>
    </row>
    <row r="7" spans="1:9" x14ac:dyDescent="0.3">
      <c r="A7" s="5" t="s">
        <v>218</v>
      </c>
      <c r="B7" s="5" t="s">
        <v>53</v>
      </c>
      <c r="C7" s="6">
        <v>46204</v>
      </c>
      <c r="D7" s="6">
        <v>46210</v>
      </c>
      <c r="E7" s="5"/>
      <c r="F7" s="7">
        <f>SUMIFS('Invoice Lines'!$G$2:$G$319,'Invoice Lines'!$A$2:$A$319,A7)</f>
        <v>150</v>
      </c>
      <c r="G7" s="7">
        <f>SUMIFS(Receipts!$D$2:$D$149,Receipts!$B$2:$B$149,A7)</f>
        <v>150</v>
      </c>
      <c r="H7" s="7">
        <f t="shared" si="0"/>
        <v>0</v>
      </c>
      <c r="I7" s="5" t="str">
        <f t="shared" si="1"/>
        <v>Paid</v>
      </c>
    </row>
    <row r="8" spans="1:9" x14ac:dyDescent="0.3">
      <c r="A8" s="5" t="s">
        <v>219</v>
      </c>
      <c r="B8" s="5" t="s">
        <v>58</v>
      </c>
      <c r="C8" s="6">
        <v>46204</v>
      </c>
      <c r="D8" s="6">
        <v>46210</v>
      </c>
      <c r="E8" s="5"/>
      <c r="F8" s="7">
        <f>SUMIFS('Invoice Lines'!$G$2:$G$319,'Invoice Lines'!$A$2:$A$319,A8)</f>
        <v>120</v>
      </c>
      <c r="G8" s="7">
        <f>SUMIFS(Receipts!$D$2:$D$149,Receipts!$B$2:$B$149,A8)</f>
        <v>120</v>
      </c>
      <c r="H8" s="7">
        <f t="shared" si="0"/>
        <v>0</v>
      </c>
      <c r="I8" s="5" t="str">
        <f t="shared" si="1"/>
        <v>Paid</v>
      </c>
    </row>
    <row r="9" spans="1:9" x14ac:dyDescent="0.3">
      <c r="A9" s="5" t="s">
        <v>220</v>
      </c>
      <c r="B9" s="5" t="s">
        <v>62</v>
      </c>
      <c r="C9" s="6">
        <v>46204</v>
      </c>
      <c r="D9" s="6">
        <v>46210</v>
      </c>
      <c r="E9" s="5"/>
      <c r="F9" s="7">
        <f>SUMIFS('Invoice Lines'!$G$2:$G$319,'Invoice Lines'!$A$2:$A$319,A9)</f>
        <v>240</v>
      </c>
      <c r="G9" s="7">
        <f>SUMIFS(Receipts!$D$2:$D$149,Receipts!$B$2:$B$149,A9)</f>
        <v>240</v>
      </c>
      <c r="H9" s="7">
        <f t="shared" si="0"/>
        <v>0</v>
      </c>
      <c r="I9" s="5" t="str">
        <f t="shared" si="1"/>
        <v>Paid</v>
      </c>
    </row>
    <row r="10" spans="1:9" x14ac:dyDescent="0.3">
      <c r="A10" s="5" t="s">
        <v>221</v>
      </c>
      <c r="B10" s="5" t="s">
        <v>65</v>
      </c>
      <c r="C10" s="6">
        <v>46204</v>
      </c>
      <c r="D10" s="6">
        <v>46210</v>
      </c>
      <c r="E10" s="5"/>
      <c r="F10" s="7">
        <f>SUMIFS('Invoice Lines'!$G$2:$G$319,'Invoice Lines'!$A$2:$A$319,A10)</f>
        <v>360</v>
      </c>
      <c r="G10" s="7">
        <f>SUMIFS(Receipts!$D$2:$D$149,Receipts!$B$2:$B$149,A10)</f>
        <v>360</v>
      </c>
      <c r="H10" s="7">
        <f t="shared" si="0"/>
        <v>0</v>
      </c>
      <c r="I10" s="5" t="str">
        <f t="shared" si="1"/>
        <v>Paid</v>
      </c>
    </row>
    <row r="11" spans="1:9" x14ac:dyDescent="0.3">
      <c r="A11" s="5" t="s">
        <v>222</v>
      </c>
      <c r="B11" s="5" t="s">
        <v>70</v>
      </c>
      <c r="C11" s="6">
        <v>46204</v>
      </c>
      <c r="D11" s="6">
        <v>46210</v>
      </c>
      <c r="E11" s="5"/>
      <c r="F11" s="7">
        <f>SUMIFS('Invoice Lines'!$G$2:$G$319,'Invoice Lines'!$A$2:$A$319,A11)</f>
        <v>150</v>
      </c>
      <c r="G11" s="7">
        <f>SUMIFS(Receipts!$D$2:$D$149,Receipts!$B$2:$B$149,A11)</f>
        <v>150</v>
      </c>
      <c r="H11" s="7">
        <f t="shared" si="0"/>
        <v>0</v>
      </c>
      <c r="I11" s="5" t="str">
        <f t="shared" si="1"/>
        <v>Paid</v>
      </c>
    </row>
    <row r="12" spans="1:9" x14ac:dyDescent="0.3">
      <c r="A12" s="5" t="s">
        <v>223</v>
      </c>
      <c r="B12" s="5" t="s">
        <v>74</v>
      </c>
      <c r="C12" s="6">
        <v>46204</v>
      </c>
      <c r="D12" s="6">
        <v>46210</v>
      </c>
      <c r="E12" s="5"/>
      <c r="F12" s="7">
        <f>SUMIFS('Invoice Lines'!$G$2:$G$319,'Invoice Lines'!$A$2:$A$319,A12)</f>
        <v>540</v>
      </c>
      <c r="G12" s="7">
        <f>SUMIFS(Receipts!$D$2:$D$149,Receipts!$B$2:$B$149,A12)</f>
        <v>540</v>
      </c>
      <c r="H12" s="7">
        <f t="shared" si="0"/>
        <v>0</v>
      </c>
      <c r="I12" s="5" t="str">
        <f t="shared" si="1"/>
        <v>Paid</v>
      </c>
    </row>
    <row r="13" spans="1:9" x14ac:dyDescent="0.3">
      <c r="A13" s="5" t="s">
        <v>224</v>
      </c>
      <c r="B13" s="5" t="s">
        <v>81</v>
      </c>
      <c r="C13" s="6">
        <v>46204</v>
      </c>
      <c r="D13" s="6">
        <v>46210</v>
      </c>
      <c r="E13" s="5"/>
      <c r="F13" s="7">
        <f>SUMIFS('Invoice Lines'!$G$2:$G$319,'Invoice Lines'!$A$2:$A$319,A13)</f>
        <v>360</v>
      </c>
      <c r="G13" s="7">
        <f>SUMIFS(Receipts!$D$2:$D$149,Receipts!$B$2:$B$149,A13)</f>
        <v>360</v>
      </c>
      <c r="H13" s="7">
        <f t="shared" si="0"/>
        <v>0</v>
      </c>
      <c r="I13" s="5" t="str">
        <f t="shared" si="1"/>
        <v>Paid</v>
      </c>
    </row>
    <row r="14" spans="1:9" x14ac:dyDescent="0.3">
      <c r="A14" s="5" t="s">
        <v>225</v>
      </c>
      <c r="B14" s="5" t="s">
        <v>83</v>
      </c>
      <c r="C14" s="6">
        <v>46204</v>
      </c>
      <c r="D14" s="6">
        <v>46210</v>
      </c>
      <c r="E14" s="5"/>
      <c r="F14" s="7">
        <f>SUMIFS('Invoice Lines'!$G$2:$G$319,'Invoice Lines'!$A$2:$A$319,A14)</f>
        <v>300</v>
      </c>
      <c r="G14" s="7">
        <f>SUMIFS(Receipts!$D$2:$D$149,Receipts!$B$2:$B$149,A14)</f>
        <v>300</v>
      </c>
      <c r="H14" s="7">
        <f t="shared" si="0"/>
        <v>0</v>
      </c>
      <c r="I14" s="5" t="str">
        <f t="shared" si="1"/>
        <v>Paid</v>
      </c>
    </row>
    <row r="15" spans="1:9" x14ac:dyDescent="0.3">
      <c r="A15" s="5" t="s">
        <v>226</v>
      </c>
      <c r="B15" s="5" t="s">
        <v>88</v>
      </c>
      <c r="C15" s="6">
        <v>46204</v>
      </c>
      <c r="D15" s="6">
        <v>46210</v>
      </c>
      <c r="E15" s="5"/>
      <c r="F15" s="7">
        <f>SUMIFS('Invoice Lines'!$G$2:$G$319,'Invoice Lines'!$A$2:$A$319,A15)</f>
        <v>300</v>
      </c>
      <c r="G15" s="7">
        <f>SUMIFS(Receipts!$D$2:$D$149,Receipts!$B$2:$B$149,A15)</f>
        <v>300</v>
      </c>
      <c r="H15" s="7">
        <f t="shared" si="0"/>
        <v>0</v>
      </c>
      <c r="I15" s="5" t="str">
        <f t="shared" si="1"/>
        <v>Paid</v>
      </c>
    </row>
    <row r="16" spans="1:9" x14ac:dyDescent="0.3">
      <c r="A16" s="5" t="s">
        <v>227</v>
      </c>
      <c r="B16" s="5" t="s">
        <v>91</v>
      </c>
      <c r="C16" s="6">
        <v>46204</v>
      </c>
      <c r="D16" s="6">
        <v>46210</v>
      </c>
      <c r="E16" s="5"/>
      <c r="F16" s="7">
        <f>SUMIFS('Invoice Lines'!$G$2:$G$319,'Invoice Lines'!$A$2:$A$319,A16)</f>
        <v>360</v>
      </c>
      <c r="G16" s="7">
        <f>SUMIFS(Receipts!$D$2:$D$149,Receipts!$B$2:$B$149,A16)</f>
        <v>360</v>
      </c>
      <c r="H16" s="7">
        <f t="shared" si="0"/>
        <v>0</v>
      </c>
      <c r="I16" s="5" t="str">
        <f t="shared" si="1"/>
        <v>Paid</v>
      </c>
    </row>
    <row r="17" spans="1:9" x14ac:dyDescent="0.3">
      <c r="A17" s="5" t="s">
        <v>228</v>
      </c>
      <c r="B17" s="5" t="s">
        <v>96</v>
      </c>
      <c r="C17" s="6">
        <v>46204</v>
      </c>
      <c r="D17" s="6">
        <v>46210</v>
      </c>
      <c r="E17" s="5"/>
      <c r="F17" s="7">
        <f>SUMIFS('Invoice Lines'!$G$2:$G$319,'Invoice Lines'!$A$2:$A$319,A17)</f>
        <v>240</v>
      </c>
      <c r="G17" s="7">
        <f>SUMIFS(Receipts!$D$2:$D$149,Receipts!$B$2:$B$149,A17)</f>
        <v>240</v>
      </c>
      <c r="H17" s="7">
        <f t="shared" si="0"/>
        <v>0</v>
      </c>
      <c r="I17" s="5" t="str">
        <f t="shared" si="1"/>
        <v>Paid</v>
      </c>
    </row>
    <row r="18" spans="1:9" x14ac:dyDescent="0.3">
      <c r="A18" s="5" t="s">
        <v>229</v>
      </c>
      <c r="B18" s="5" t="s">
        <v>98</v>
      </c>
      <c r="C18" s="6">
        <v>46204</v>
      </c>
      <c r="D18" s="6">
        <v>46210</v>
      </c>
      <c r="E18" s="5"/>
      <c r="F18" s="7">
        <f>SUMIFS('Invoice Lines'!$G$2:$G$319,'Invoice Lines'!$A$2:$A$319,A18)</f>
        <v>360</v>
      </c>
      <c r="G18" s="7">
        <f>SUMIFS(Receipts!$D$2:$D$149,Receipts!$B$2:$B$149,A18)</f>
        <v>360</v>
      </c>
      <c r="H18" s="7">
        <f t="shared" si="0"/>
        <v>0</v>
      </c>
      <c r="I18" s="5" t="str">
        <f t="shared" si="1"/>
        <v>Paid</v>
      </c>
    </row>
    <row r="19" spans="1:9" x14ac:dyDescent="0.3">
      <c r="A19" s="5" t="s">
        <v>230</v>
      </c>
      <c r="B19" s="5" t="s">
        <v>107</v>
      </c>
      <c r="C19" s="6">
        <v>46204</v>
      </c>
      <c r="D19" s="6">
        <v>46210</v>
      </c>
      <c r="E19" s="5"/>
      <c r="F19" s="7">
        <f>SUMIFS('Invoice Lines'!$G$2:$G$319,'Invoice Lines'!$A$2:$A$319,A19)</f>
        <v>540</v>
      </c>
      <c r="G19" s="7">
        <f>SUMIFS(Receipts!$D$2:$D$149,Receipts!$B$2:$B$149,A19)</f>
        <v>540</v>
      </c>
      <c r="H19" s="7">
        <f t="shared" si="0"/>
        <v>0</v>
      </c>
      <c r="I19" s="5" t="str">
        <f t="shared" si="1"/>
        <v>Paid</v>
      </c>
    </row>
    <row r="20" spans="1:9" x14ac:dyDescent="0.3">
      <c r="A20" s="5" t="s">
        <v>231</v>
      </c>
      <c r="B20" s="5" t="s">
        <v>111</v>
      </c>
      <c r="C20" s="6">
        <v>46204</v>
      </c>
      <c r="D20" s="6">
        <v>46210</v>
      </c>
      <c r="E20" s="5"/>
      <c r="F20" s="7">
        <f>SUMIFS('Invoice Lines'!$G$2:$G$319,'Invoice Lines'!$A$2:$A$319,A20)</f>
        <v>360</v>
      </c>
      <c r="G20" s="7">
        <f>SUMIFS(Receipts!$D$2:$D$149,Receipts!$B$2:$B$149,A20)</f>
        <v>360</v>
      </c>
      <c r="H20" s="7">
        <f t="shared" si="0"/>
        <v>0</v>
      </c>
      <c r="I20" s="5" t="str">
        <f t="shared" si="1"/>
        <v>Paid</v>
      </c>
    </row>
    <row r="21" spans="1:9" x14ac:dyDescent="0.3">
      <c r="A21" s="5" t="s">
        <v>232</v>
      </c>
      <c r="B21" s="5" t="s">
        <v>115</v>
      </c>
      <c r="C21" s="6">
        <v>46204</v>
      </c>
      <c r="D21" s="6">
        <v>46210</v>
      </c>
      <c r="E21" s="5"/>
      <c r="F21" s="7">
        <f>SUMIFS('Invoice Lines'!$G$2:$G$319,'Invoice Lines'!$A$2:$A$319,A21)</f>
        <v>240</v>
      </c>
      <c r="G21" s="7">
        <f>SUMIFS(Receipts!$D$2:$D$149,Receipts!$B$2:$B$149,A21)</f>
        <v>240</v>
      </c>
      <c r="H21" s="7">
        <f t="shared" si="0"/>
        <v>0</v>
      </c>
      <c r="I21" s="5" t="str">
        <f t="shared" si="1"/>
        <v>Paid</v>
      </c>
    </row>
    <row r="22" spans="1:9" x14ac:dyDescent="0.3">
      <c r="A22" s="5" t="s">
        <v>233</v>
      </c>
      <c r="B22" s="5" t="s">
        <v>117</v>
      </c>
      <c r="C22" s="6">
        <v>46204</v>
      </c>
      <c r="D22" s="6">
        <v>46210</v>
      </c>
      <c r="E22" s="5"/>
      <c r="F22" s="7">
        <f>SUMIFS('Invoice Lines'!$G$2:$G$319,'Invoice Lines'!$A$2:$A$319,A22)</f>
        <v>150</v>
      </c>
      <c r="G22" s="7">
        <f>SUMIFS(Receipts!$D$2:$D$149,Receipts!$B$2:$B$149,A22)</f>
        <v>150</v>
      </c>
      <c r="H22" s="7">
        <f t="shared" si="0"/>
        <v>0</v>
      </c>
      <c r="I22" s="5" t="str">
        <f t="shared" si="1"/>
        <v>Paid</v>
      </c>
    </row>
    <row r="23" spans="1:9" x14ac:dyDescent="0.3">
      <c r="A23" s="5" t="s">
        <v>234</v>
      </c>
      <c r="B23" s="5" t="s">
        <v>120</v>
      </c>
      <c r="C23" s="6">
        <v>46204</v>
      </c>
      <c r="D23" s="6">
        <v>46210</v>
      </c>
      <c r="E23" s="5"/>
      <c r="F23" s="7">
        <f>SUMIFS('Invoice Lines'!$G$2:$G$319,'Invoice Lines'!$A$2:$A$319,A23)</f>
        <v>120</v>
      </c>
      <c r="G23" s="7">
        <f>SUMIFS(Receipts!$D$2:$D$149,Receipts!$B$2:$B$149,A23)</f>
        <v>120</v>
      </c>
      <c r="H23" s="7">
        <f t="shared" si="0"/>
        <v>0</v>
      </c>
      <c r="I23" s="5" t="str">
        <f t="shared" si="1"/>
        <v>Paid</v>
      </c>
    </row>
    <row r="24" spans="1:9" x14ac:dyDescent="0.3">
      <c r="A24" s="5" t="s">
        <v>235</v>
      </c>
      <c r="B24" s="5" t="s">
        <v>124</v>
      </c>
      <c r="C24" s="6">
        <v>46204</v>
      </c>
      <c r="D24" s="6">
        <v>46210</v>
      </c>
      <c r="E24" s="5"/>
      <c r="F24" s="7">
        <f>SUMIFS('Invoice Lines'!$G$2:$G$319,'Invoice Lines'!$A$2:$A$319,A24)</f>
        <v>180</v>
      </c>
      <c r="G24" s="7">
        <f>SUMIFS(Receipts!$D$2:$D$149,Receipts!$B$2:$B$149,A24)</f>
        <v>180</v>
      </c>
      <c r="H24" s="7">
        <f t="shared" si="0"/>
        <v>0</v>
      </c>
      <c r="I24" s="5" t="str">
        <f t="shared" si="1"/>
        <v>Paid</v>
      </c>
    </row>
    <row r="25" spans="1:9" x14ac:dyDescent="0.3">
      <c r="A25" s="5" t="s">
        <v>236</v>
      </c>
      <c r="B25" s="5" t="s">
        <v>128</v>
      </c>
      <c r="C25" s="6">
        <v>46204</v>
      </c>
      <c r="D25" s="6">
        <v>46210</v>
      </c>
      <c r="E25" s="5"/>
      <c r="F25" s="7">
        <f>SUMIFS('Invoice Lines'!$G$2:$G$319,'Invoice Lines'!$A$2:$A$319,A25)</f>
        <v>360</v>
      </c>
      <c r="G25" s="7">
        <f>SUMIFS(Receipts!$D$2:$D$149,Receipts!$B$2:$B$149,A25)</f>
        <v>360</v>
      </c>
      <c r="H25" s="7">
        <f t="shared" si="0"/>
        <v>0</v>
      </c>
      <c r="I25" s="5" t="str">
        <f t="shared" si="1"/>
        <v>Paid</v>
      </c>
    </row>
    <row r="26" spans="1:9" x14ac:dyDescent="0.3">
      <c r="A26" s="5" t="s">
        <v>237</v>
      </c>
      <c r="B26" s="5" t="s">
        <v>130</v>
      </c>
      <c r="C26" s="6">
        <v>46204</v>
      </c>
      <c r="D26" s="6">
        <v>46210</v>
      </c>
      <c r="E26" s="5"/>
      <c r="F26" s="7">
        <f>SUMIFS('Invoice Lines'!$G$2:$G$319,'Invoice Lines'!$A$2:$A$319,A26)</f>
        <v>540</v>
      </c>
      <c r="G26" s="7">
        <f>SUMIFS(Receipts!$D$2:$D$149,Receipts!$B$2:$B$149,A26)</f>
        <v>540</v>
      </c>
      <c r="H26" s="7">
        <f t="shared" si="0"/>
        <v>0</v>
      </c>
      <c r="I26" s="5" t="str">
        <f t="shared" si="1"/>
        <v>Paid</v>
      </c>
    </row>
    <row r="27" spans="1:9" x14ac:dyDescent="0.3">
      <c r="A27" s="5" t="s">
        <v>238</v>
      </c>
      <c r="B27" s="5" t="s">
        <v>134</v>
      </c>
      <c r="C27" s="6">
        <v>46204</v>
      </c>
      <c r="D27" s="6">
        <v>46210</v>
      </c>
      <c r="E27" s="5"/>
      <c r="F27" s="7">
        <f>SUMIFS('Invoice Lines'!$G$2:$G$319,'Invoice Lines'!$A$2:$A$319,A27)</f>
        <v>540</v>
      </c>
      <c r="G27" s="7">
        <f>SUMIFS(Receipts!$D$2:$D$149,Receipts!$B$2:$B$149,A27)</f>
        <v>540</v>
      </c>
      <c r="H27" s="7">
        <f t="shared" si="0"/>
        <v>0</v>
      </c>
      <c r="I27" s="5" t="str">
        <f t="shared" si="1"/>
        <v>Paid</v>
      </c>
    </row>
    <row r="28" spans="1:9" x14ac:dyDescent="0.3">
      <c r="A28" s="5" t="s">
        <v>239</v>
      </c>
      <c r="B28" s="5" t="s">
        <v>138</v>
      </c>
      <c r="C28" s="6">
        <v>46204</v>
      </c>
      <c r="D28" s="6">
        <v>46210</v>
      </c>
      <c r="E28" s="5"/>
      <c r="F28" s="7">
        <f>SUMIFS('Invoice Lines'!$G$2:$G$319,'Invoice Lines'!$A$2:$A$319,A28)</f>
        <v>240</v>
      </c>
      <c r="G28" s="7">
        <f>SUMIFS(Receipts!$D$2:$D$149,Receipts!$B$2:$B$149,A28)</f>
        <v>240</v>
      </c>
      <c r="H28" s="7">
        <f t="shared" si="0"/>
        <v>0</v>
      </c>
      <c r="I28" s="5" t="str">
        <f t="shared" si="1"/>
        <v>Paid</v>
      </c>
    </row>
    <row r="29" spans="1:9" x14ac:dyDescent="0.3">
      <c r="A29" s="5" t="s">
        <v>240</v>
      </c>
      <c r="B29" s="5" t="s">
        <v>141</v>
      </c>
      <c r="C29" s="6">
        <v>46204</v>
      </c>
      <c r="D29" s="6">
        <v>46210</v>
      </c>
      <c r="E29" s="5"/>
      <c r="F29" s="7">
        <f>SUMIFS('Invoice Lines'!$G$2:$G$319,'Invoice Lines'!$A$2:$A$319,A29)</f>
        <v>120</v>
      </c>
      <c r="G29" s="7">
        <f>SUMIFS(Receipts!$D$2:$D$149,Receipts!$B$2:$B$149,A29)</f>
        <v>120</v>
      </c>
      <c r="H29" s="7">
        <f t="shared" si="0"/>
        <v>0</v>
      </c>
      <c r="I29" s="5" t="str">
        <f t="shared" si="1"/>
        <v>Paid</v>
      </c>
    </row>
    <row r="30" spans="1:9" x14ac:dyDescent="0.3">
      <c r="A30" s="5" t="s">
        <v>241</v>
      </c>
      <c r="B30" s="5" t="s">
        <v>147</v>
      </c>
      <c r="C30" s="6">
        <v>46204</v>
      </c>
      <c r="D30" s="6">
        <v>46210</v>
      </c>
      <c r="E30" s="5"/>
      <c r="F30" s="7">
        <f>SUMIFS('Invoice Lines'!$G$2:$G$319,'Invoice Lines'!$A$2:$A$319,A30)</f>
        <v>360</v>
      </c>
      <c r="G30" s="7">
        <f>SUMIFS(Receipts!$D$2:$D$149,Receipts!$B$2:$B$149,A30)</f>
        <v>360</v>
      </c>
      <c r="H30" s="7">
        <f t="shared" si="0"/>
        <v>0</v>
      </c>
      <c r="I30" s="5" t="str">
        <f t="shared" si="1"/>
        <v>Paid</v>
      </c>
    </row>
    <row r="31" spans="1:9" x14ac:dyDescent="0.3">
      <c r="A31" s="5" t="s">
        <v>242</v>
      </c>
      <c r="B31" s="5" t="s">
        <v>151</v>
      </c>
      <c r="C31" s="6">
        <v>46204</v>
      </c>
      <c r="D31" s="6">
        <v>46210</v>
      </c>
      <c r="E31" s="5"/>
      <c r="F31" s="7">
        <f>SUMIFS('Invoice Lines'!$G$2:$G$319,'Invoice Lines'!$A$2:$A$319,A31)</f>
        <v>360</v>
      </c>
      <c r="G31" s="7">
        <f>SUMIFS(Receipts!$D$2:$D$149,Receipts!$B$2:$B$149,A31)</f>
        <v>360</v>
      </c>
      <c r="H31" s="7">
        <f t="shared" si="0"/>
        <v>0</v>
      </c>
      <c r="I31" s="5" t="str">
        <f t="shared" si="1"/>
        <v>Paid</v>
      </c>
    </row>
    <row r="32" spans="1:9" x14ac:dyDescent="0.3">
      <c r="A32" s="5" t="s">
        <v>243</v>
      </c>
      <c r="B32" s="5" t="s">
        <v>155</v>
      </c>
      <c r="C32" s="6">
        <v>46204</v>
      </c>
      <c r="D32" s="6">
        <v>46210</v>
      </c>
      <c r="E32" s="5"/>
      <c r="F32" s="7">
        <f>SUMIFS('Invoice Lines'!$G$2:$G$319,'Invoice Lines'!$A$2:$A$319,A32)</f>
        <v>450</v>
      </c>
      <c r="G32" s="7">
        <f>SUMIFS(Receipts!$D$2:$D$149,Receipts!$B$2:$B$149,A32)</f>
        <v>450</v>
      </c>
      <c r="H32" s="7">
        <f t="shared" si="0"/>
        <v>0</v>
      </c>
      <c r="I32" s="5" t="str">
        <f t="shared" si="1"/>
        <v>Paid</v>
      </c>
    </row>
    <row r="33" spans="1:9" x14ac:dyDescent="0.3">
      <c r="A33" s="5" t="s">
        <v>244</v>
      </c>
      <c r="B33" s="5" t="s">
        <v>157</v>
      </c>
      <c r="C33" s="6">
        <v>46204</v>
      </c>
      <c r="D33" s="6">
        <v>46210</v>
      </c>
      <c r="E33" s="5"/>
      <c r="F33" s="7">
        <f>SUMIFS('Invoice Lines'!$G$2:$G$319,'Invoice Lines'!$A$2:$A$319,A33)</f>
        <v>360</v>
      </c>
      <c r="G33" s="7">
        <f>SUMIFS(Receipts!$D$2:$D$149,Receipts!$B$2:$B$149,A33)</f>
        <v>360</v>
      </c>
      <c r="H33" s="7">
        <f t="shared" si="0"/>
        <v>0</v>
      </c>
      <c r="I33" s="5" t="str">
        <f t="shared" si="1"/>
        <v>Paid</v>
      </c>
    </row>
    <row r="34" spans="1:9" x14ac:dyDescent="0.3">
      <c r="A34" s="5" t="s">
        <v>245</v>
      </c>
      <c r="B34" s="5" t="s">
        <v>159</v>
      </c>
      <c r="C34" s="6">
        <v>46204</v>
      </c>
      <c r="D34" s="6">
        <v>46210</v>
      </c>
      <c r="E34" s="5"/>
      <c r="F34" s="7">
        <f>SUMIFS('Invoice Lines'!$G$2:$G$319,'Invoice Lines'!$A$2:$A$319,A34)</f>
        <v>240</v>
      </c>
      <c r="G34" s="7">
        <f>SUMIFS(Receipts!$D$2:$D$149,Receipts!$B$2:$B$149,A34)</f>
        <v>240</v>
      </c>
      <c r="H34" s="7">
        <f t="shared" ref="H34:H65" si="2">IF(E34="Yes",0,F34-G34)</f>
        <v>0</v>
      </c>
      <c r="I34" s="5" t="str">
        <f t="shared" ref="I34:I65" si="3">IF(E34="Yes","Void",IF(H34&lt;=0,"Paid",IF(G34&gt;0,"Partially Paid","Issued")))</f>
        <v>Paid</v>
      </c>
    </row>
    <row r="35" spans="1:9" x14ac:dyDescent="0.3">
      <c r="A35" s="5" t="s">
        <v>246</v>
      </c>
      <c r="B35" s="5" t="s">
        <v>161</v>
      </c>
      <c r="C35" s="6">
        <v>46204</v>
      </c>
      <c r="D35" s="6">
        <v>46210</v>
      </c>
      <c r="E35" s="5"/>
      <c r="F35" s="7">
        <f>SUMIFS('Invoice Lines'!$G$2:$G$319,'Invoice Lines'!$A$2:$A$319,A35)</f>
        <v>150</v>
      </c>
      <c r="G35" s="7">
        <f>SUMIFS(Receipts!$D$2:$D$149,Receipts!$B$2:$B$149,A35)</f>
        <v>150</v>
      </c>
      <c r="H35" s="7">
        <f t="shared" si="2"/>
        <v>0</v>
      </c>
      <c r="I35" s="5" t="str">
        <f t="shared" si="3"/>
        <v>Paid</v>
      </c>
    </row>
    <row r="36" spans="1:9" x14ac:dyDescent="0.3">
      <c r="A36" s="5" t="s">
        <v>247</v>
      </c>
      <c r="B36" s="5" t="s">
        <v>165</v>
      </c>
      <c r="C36" s="6">
        <v>46204</v>
      </c>
      <c r="D36" s="6">
        <v>46210</v>
      </c>
      <c r="E36" s="5"/>
      <c r="F36" s="7">
        <f>SUMIFS('Invoice Lines'!$G$2:$G$319,'Invoice Lines'!$A$2:$A$319,A36)</f>
        <v>360</v>
      </c>
      <c r="G36" s="7">
        <f>SUMIFS(Receipts!$D$2:$D$149,Receipts!$B$2:$B$149,A36)</f>
        <v>360</v>
      </c>
      <c r="H36" s="7">
        <f t="shared" si="2"/>
        <v>0</v>
      </c>
      <c r="I36" s="5" t="str">
        <f t="shared" si="3"/>
        <v>Paid</v>
      </c>
    </row>
    <row r="37" spans="1:9" x14ac:dyDescent="0.3">
      <c r="A37" s="5" t="s">
        <v>248</v>
      </c>
      <c r="B37" s="5" t="s">
        <v>167</v>
      </c>
      <c r="C37" s="6">
        <v>46204</v>
      </c>
      <c r="D37" s="6">
        <v>46210</v>
      </c>
      <c r="E37" s="5"/>
      <c r="F37" s="7">
        <f>SUMIFS('Invoice Lines'!$G$2:$G$319,'Invoice Lines'!$A$2:$A$319,A37)</f>
        <v>300</v>
      </c>
      <c r="G37" s="7">
        <f>SUMIFS(Receipts!$D$2:$D$149,Receipts!$B$2:$B$149,A37)</f>
        <v>300</v>
      </c>
      <c r="H37" s="7">
        <f t="shared" si="2"/>
        <v>0</v>
      </c>
      <c r="I37" s="5" t="str">
        <f t="shared" si="3"/>
        <v>Paid</v>
      </c>
    </row>
    <row r="38" spans="1:9" x14ac:dyDescent="0.3">
      <c r="A38" s="5" t="s">
        <v>249</v>
      </c>
      <c r="B38" s="5" t="s">
        <v>169</v>
      </c>
      <c r="C38" s="6">
        <v>46204</v>
      </c>
      <c r="D38" s="6">
        <v>46210</v>
      </c>
      <c r="E38" s="5"/>
      <c r="F38" s="7">
        <f>SUMIFS('Invoice Lines'!$G$2:$G$319,'Invoice Lines'!$A$2:$A$319,A38)</f>
        <v>240</v>
      </c>
      <c r="G38" s="7">
        <f>SUMIFS(Receipts!$D$2:$D$149,Receipts!$B$2:$B$149,A38)</f>
        <v>240</v>
      </c>
      <c r="H38" s="7">
        <f t="shared" si="2"/>
        <v>0</v>
      </c>
      <c r="I38" s="5" t="str">
        <f t="shared" si="3"/>
        <v>Paid</v>
      </c>
    </row>
    <row r="39" spans="1:9" x14ac:dyDescent="0.3">
      <c r="A39" s="5" t="s">
        <v>250</v>
      </c>
      <c r="B39" s="5" t="s">
        <v>171</v>
      </c>
      <c r="C39" s="6">
        <v>46204</v>
      </c>
      <c r="D39" s="6">
        <v>46210</v>
      </c>
      <c r="E39" s="5"/>
      <c r="F39" s="7">
        <f>SUMIFS('Invoice Lines'!$G$2:$G$319,'Invoice Lines'!$A$2:$A$319,A39)</f>
        <v>540</v>
      </c>
      <c r="G39" s="7">
        <f>SUMIFS(Receipts!$D$2:$D$149,Receipts!$B$2:$B$149,A39)</f>
        <v>540</v>
      </c>
      <c r="H39" s="7">
        <f t="shared" si="2"/>
        <v>0</v>
      </c>
      <c r="I39" s="5" t="str">
        <f t="shared" si="3"/>
        <v>Paid</v>
      </c>
    </row>
    <row r="40" spans="1:9" x14ac:dyDescent="0.3">
      <c r="A40" s="5" t="s">
        <v>251</v>
      </c>
      <c r="B40" s="5" t="s">
        <v>175</v>
      </c>
      <c r="C40" s="6">
        <v>46204</v>
      </c>
      <c r="D40" s="6">
        <v>46210</v>
      </c>
      <c r="E40" s="5"/>
      <c r="F40" s="7">
        <f>SUMIFS('Invoice Lines'!$G$2:$G$319,'Invoice Lines'!$A$2:$A$319,A40)</f>
        <v>150</v>
      </c>
      <c r="G40" s="7">
        <f>SUMIFS(Receipts!$D$2:$D$149,Receipts!$B$2:$B$149,A40)</f>
        <v>150</v>
      </c>
      <c r="H40" s="7">
        <f t="shared" si="2"/>
        <v>0</v>
      </c>
      <c r="I40" s="5" t="str">
        <f t="shared" si="3"/>
        <v>Paid</v>
      </c>
    </row>
    <row r="41" spans="1:9" x14ac:dyDescent="0.3">
      <c r="A41" s="5" t="s">
        <v>252</v>
      </c>
      <c r="B41" s="5" t="s">
        <v>178</v>
      </c>
      <c r="C41" s="6">
        <v>46204</v>
      </c>
      <c r="D41" s="6">
        <v>46210</v>
      </c>
      <c r="E41" s="5"/>
      <c r="F41" s="7">
        <f>SUMIFS('Invoice Lines'!$G$2:$G$319,'Invoice Lines'!$A$2:$A$319,A41)</f>
        <v>180</v>
      </c>
      <c r="G41" s="7">
        <f>SUMIFS(Receipts!$D$2:$D$149,Receipts!$B$2:$B$149,A41)</f>
        <v>180</v>
      </c>
      <c r="H41" s="7">
        <f t="shared" si="2"/>
        <v>0</v>
      </c>
      <c r="I41" s="5" t="str">
        <f t="shared" si="3"/>
        <v>Paid</v>
      </c>
    </row>
    <row r="42" spans="1:9" x14ac:dyDescent="0.3">
      <c r="A42" s="5" t="s">
        <v>253</v>
      </c>
      <c r="B42" s="5" t="s">
        <v>180</v>
      </c>
      <c r="C42" s="6">
        <v>46204</v>
      </c>
      <c r="D42" s="6">
        <v>46210</v>
      </c>
      <c r="E42" s="5"/>
      <c r="F42" s="7">
        <f>SUMIFS('Invoice Lines'!$G$2:$G$319,'Invoice Lines'!$A$2:$A$319,A42)</f>
        <v>360</v>
      </c>
      <c r="G42" s="7">
        <f>SUMIFS(Receipts!$D$2:$D$149,Receipts!$B$2:$B$149,A42)</f>
        <v>360</v>
      </c>
      <c r="H42" s="7">
        <f t="shared" si="2"/>
        <v>0</v>
      </c>
      <c r="I42" s="5" t="str">
        <f t="shared" si="3"/>
        <v>Paid</v>
      </c>
    </row>
    <row r="43" spans="1:9" x14ac:dyDescent="0.3">
      <c r="A43" s="5" t="s">
        <v>254</v>
      </c>
      <c r="B43" s="5" t="s">
        <v>182</v>
      </c>
      <c r="C43" s="6">
        <v>46204</v>
      </c>
      <c r="D43" s="6">
        <v>46210</v>
      </c>
      <c r="E43" s="5"/>
      <c r="F43" s="7">
        <f>SUMIFS('Invoice Lines'!$G$2:$G$319,'Invoice Lines'!$A$2:$A$319,A43)</f>
        <v>180</v>
      </c>
      <c r="G43" s="7">
        <f>SUMIFS(Receipts!$D$2:$D$149,Receipts!$B$2:$B$149,A43)</f>
        <v>180</v>
      </c>
      <c r="H43" s="7">
        <f t="shared" si="2"/>
        <v>0</v>
      </c>
      <c r="I43" s="5" t="str">
        <f t="shared" si="3"/>
        <v>Paid</v>
      </c>
    </row>
    <row r="44" spans="1:9" x14ac:dyDescent="0.3">
      <c r="A44" s="5" t="s">
        <v>255</v>
      </c>
      <c r="B44" s="5" t="s">
        <v>184</v>
      </c>
      <c r="C44" s="6">
        <v>46204</v>
      </c>
      <c r="D44" s="6">
        <v>46210</v>
      </c>
      <c r="E44" s="5"/>
      <c r="F44" s="7">
        <f>SUMIFS('Invoice Lines'!$G$2:$G$319,'Invoice Lines'!$A$2:$A$319,A44)</f>
        <v>180</v>
      </c>
      <c r="G44" s="7">
        <f>SUMIFS(Receipts!$D$2:$D$149,Receipts!$B$2:$B$149,A44)</f>
        <v>180</v>
      </c>
      <c r="H44" s="7">
        <f t="shared" si="2"/>
        <v>0</v>
      </c>
      <c r="I44" s="5" t="str">
        <f t="shared" si="3"/>
        <v>Paid</v>
      </c>
    </row>
    <row r="45" spans="1:9" x14ac:dyDescent="0.3">
      <c r="A45" s="5" t="s">
        <v>256</v>
      </c>
      <c r="B45" s="5" t="s">
        <v>186</v>
      </c>
      <c r="C45" s="6">
        <v>46204</v>
      </c>
      <c r="D45" s="6">
        <v>46210</v>
      </c>
      <c r="E45" s="5"/>
      <c r="F45" s="7">
        <f>SUMIFS('Invoice Lines'!$G$2:$G$319,'Invoice Lines'!$A$2:$A$319,A45)</f>
        <v>120</v>
      </c>
      <c r="G45" s="7">
        <f>SUMIFS(Receipts!$D$2:$D$149,Receipts!$B$2:$B$149,A45)</f>
        <v>120</v>
      </c>
      <c r="H45" s="7">
        <f t="shared" si="2"/>
        <v>0</v>
      </c>
      <c r="I45" s="5" t="str">
        <f t="shared" si="3"/>
        <v>Paid</v>
      </c>
    </row>
    <row r="46" spans="1:9" x14ac:dyDescent="0.3">
      <c r="A46" s="5" t="s">
        <v>257</v>
      </c>
      <c r="B46" s="5" t="s">
        <v>188</v>
      </c>
      <c r="C46" s="6">
        <v>46204</v>
      </c>
      <c r="D46" s="6">
        <v>46210</v>
      </c>
      <c r="E46" s="5"/>
      <c r="F46" s="7">
        <f>SUMIFS('Invoice Lines'!$G$2:$G$319,'Invoice Lines'!$A$2:$A$319,A46)</f>
        <v>540</v>
      </c>
      <c r="G46" s="7">
        <f>SUMIFS(Receipts!$D$2:$D$149,Receipts!$B$2:$B$149,A46)</f>
        <v>540</v>
      </c>
      <c r="H46" s="7">
        <f t="shared" si="2"/>
        <v>0</v>
      </c>
      <c r="I46" s="5" t="str">
        <f t="shared" si="3"/>
        <v>Paid</v>
      </c>
    </row>
    <row r="47" spans="1:9" x14ac:dyDescent="0.3">
      <c r="A47" s="5" t="s">
        <v>258</v>
      </c>
      <c r="B47" s="5" t="s">
        <v>192</v>
      </c>
      <c r="C47" s="6">
        <v>46204</v>
      </c>
      <c r="D47" s="6">
        <v>46210</v>
      </c>
      <c r="E47" s="5"/>
      <c r="F47" s="7">
        <f>SUMIFS('Invoice Lines'!$G$2:$G$319,'Invoice Lines'!$A$2:$A$319,A47)</f>
        <v>120</v>
      </c>
      <c r="G47" s="7">
        <f>SUMIFS(Receipts!$D$2:$D$149,Receipts!$B$2:$B$149,A47)</f>
        <v>120</v>
      </c>
      <c r="H47" s="7">
        <f t="shared" si="2"/>
        <v>0</v>
      </c>
      <c r="I47" s="5" t="str">
        <f t="shared" si="3"/>
        <v>Paid</v>
      </c>
    </row>
    <row r="48" spans="1:9" x14ac:dyDescent="0.3">
      <c r="A48" s="5" t="s">
        <v>259</v>
      </c>
      <c r="B48" s="5" t="s">
        <v>194</v>
      </c>
      <c r="C48" s="6">
        <v>46204</v>
      </c>
      <c r="D48" s="6">
        <v>46210</v>
      </c>
      <c r="E48" s="5"/>
      <c r="F48" s="7">
        <f>SUMIFS('Invoice Lines'!$G$2:$G$319,'Invoice Lines'!$A$2:$A$319,A48)</f>
        <v>300</v>
      </c>
      <c r="G48" s="7">
        <f>SUMIFS(Receipts!$D$2:$D$149,Receipts!$B$2:$B$149,A48)</f>
        <v>300</v>
      </c>
      <c r="H48" s="7">
        <f t="shared" si="2"/>
        <v>0</v>
      </c>
      <c r="I48" s="5" t="str">
        <f t="shared" si="3"/>
        <v>Paid</v>
      </c>
    </row>
    <row r="49" spans="1:9" x14ac:dyDescent="0.3">
      <c r="A49" s="5" t="s">
        <v>260</v>
      </c>
      <c r="B49" s="5" t="s">
        <v>196</v>
      </c>
      <c r="C49" s="6">
        <v>46204</v>
      </c>
      <c r="D49" s="6">
        <v>46210</v>
      </c>
      <c r="E49" s="5"/>
      <c r="F49" s="7">
        <f>SUMIFS('Invoice Lines'!$G$2:$G$319,'Invoice Lines'!$A$2:$A$319,A49)</f>
        <v>120</v>
      </c>
      <c r="G49" s="7">
        <f>SUMIFS(Receipts!$D$2:$D$149,Receipts!$B$2:$B$149,A49)</f>
        <v>120</v>
      </c>
      <c r="H49" s="7">
        <f t="shared" si="2"/>
        <v>0</v>
      </c>
      <c r="I49" s="5" t="str">
        <f t="shared" si="3"/>
        <v>Paid</v>
      </c>
    </row>
    <row r="50" spans="1:9" x14ac:dyDescent="0.3">
      <c r="A50" s="5" t="s">
        <v>261</v>
      </c>
      <c r="B50" s="5" t="s">
        <v>198</v>
      </c>
      <c r="C50" s="6">
        <v>46204</v>
      </c>
      <c r="D50" s="6">
        <v>46210</v>
      </c>
      <c r="E50" s="5"/>
      <c r="F50" s="7">
        <f>SUMIFS('Invoice Lines'!$G$2:$G$319,'Invoice Lines'!$A$2:$A$319,A50)</f>
        <v>150</v>
      </c>
      <c r="G50" s="7">
        <f>SUMIFS(Receipts!$D$2:$D$149,Receipts!$B$2:$B$149,A50)</f>
        <v>150</v>
      </c>
      <c r="H50" s="7">
        <f t="shared" si="2"/>
        <v>0</v>
      </c>
      <c r="I50" s="5" t="str">
        <f t="shared" si="3"/>
        <v>Paid</v>
      </c>
    </row>
    <row r="51" spans="1:9" x14ac:dyDescent="0.3">
      <c r="A51" s="5" t="s">
        <v>262</v>
      </c>
      <c r="B51" s="5" t="s">
        <v>202</v>
      </c>
      <c r="C51" s="6">
        <v>46204</v>
      </c>
      <c r="D51" s="6">
        <v>46210</v>
      </c>
      <c r="E51" s="5"/>
      <c r="F51" s="7">
        <f>SUMIFS('Invoice Lines'!$G$2:$G$319,'Invoice Lines'!$A$2:$A$319,A51)</f>
        <v>360</v>
      </c>
      <c r="G51" s="7">
        <f>SUMIFS(Receipts!$D$2:$D$149,Receipts!$B$2:$B$149,A51)</f>
        <v>360</v>
      </c>
      <c r="H51" s="7">
        <f t="shared" si="2"/>
        <v>0</v>
      </c>
      <c r="I51" s="5" t="str">
        <f t="shared" si="3"/>
        <v>Paid</v>
      </c>
    </row>
    <row r="52" spans="1:9" x14ac:dyDescent="0.3">
      <c r="A52" s="5" t="s">
        <v>263</v>
      </c>
      <c r="B52" s="5" t="s">
        <v>204</v>
      </c>
      <c r="C52" s="6">
        <v>46204</v>
      </c>
      <c r="D52" s="6">
        <v>46210</v>
      </c>
      <c r="E52" s="5"/>
      <c r="F52" s="7">
        <f>SUMIFS('Invoice Lines'!$G$2:$G$319,'Invoice Lines'!$A$2:$A$319,A52)</f>
        <v>360</v>
      </c>
      <c r="G52" s="7">
        <f>SUMIFS(Receipts!$D$2:$D$149,Receipts!$B$2:$B$149,A52)</f>
        <v>360</v>
      </c>
      <c r="H52" s="7">
        <f t="shared" si="2"/>
        <v>0</v>
      </c>
      <c r="I52" s="5" t="str">
        <f t="shared" si="3"/>
        <v>Paid</v>
      </c>
    </row>
    <row r="53" spans="1:9" x14ac:dyDescent="0.3">
      <c r="A53" s="5" t="s">
        <v>264</v>
      </c>
      <c r="B53" s="5" t="s">
        <v>30</v>
      </c>
      <c r="C53" s="6">
        <v>46235</v>
      </c>
      <c r="D53" s="6">
        <v>46241</v>
      </c>
      <c r="E53" s="5"/>
      <c r="F53" s="7">
        <f>SUMIFS('Invoice Lines'!$G$2:$G$319,'Invoice Lines'!$A$2:$A$319,A53)</f>
        <v>300</v>
      </c>
      <c r="G53" s="7">
        <f>SUMIFS(Receipts!$D$2:$D$149,Receipts!$B$2:$B$149,A53)</f>
        <v>300</v>
      </c>
      <c r="H53" s="7">
        <f t="shared" si="2"/>
        <v>0</v>
      </c>
      <c r="I53" s="5" t="str">
        <f t="shared" si="3"/>
        <v>Paid</v>
      </c>
    </row>
    <row r="54" spans="1:9" x14ac:dyDescent="0.3">
      <c r="A54" s="5" t="s">
        <v>265</v>
      </c>
      <c r="B54" s="5" t="s">
        <v>35</v>
      </c>
      <c r="C54" s="6">
        <v>46235</v>
      </c>
      <c r="D54" s="6">
        <v>46241</v>
      </c>
      <c r="E54" s="5"/>
      <c r="F54" s="7">
        <f>SUMIFS('Invoice Lines'!$G$2:$G$319,'Invoice Lines'!$A$2:$A$319,A54)</f>
        <v>180</v>
      </c>
      <c r="G54" s="7">
        <f>SUMIFS(Receipts!$D$2:$D$149,Receipts!$B$2:$B$149,A54)</f>
        <v>180</v>
      </c>
      <c r="H54" s="7">
        <f t="shared" si="2"/>
        <v>0</v>
      </c>
      <c r="I54" s="5" t="str">
        <f t="shared" si="3"/>
        <v>Paid</v>
      </c>
    </row>
    <row r="55" spans="1:9" x14ac:dyDescent="0.3">
      <c r="A55" s="5" t="s">
        <v>266</v>
      </c>
      <c r="B55" s="5" t="s">
        <v>40</v>
      </c>
      <c r="C55" s="6">
        <v>46235</v>
      </c>
      <c r="D55" s="6">
        <v>46241</v>
      </c>
      <c r="E55" s="5"/>
      <c r="F55" s="7">
        <f>SUMIFS('Invoice Lines'!$G$2:$G$319,'Invoice Lines'!$A$2:$A$319,A55)</f>
        <v>300</v>
      </c>
      <c r="G55" s="7">
        <f>SUMIFS(Receipts!$D$2:$D$149,Receipts!$B$2:$B$149,A55)</f>
        <v>300</v>
      </c>
      <c r="H55" s="7">
        <f t="shared" si="2"/>
        <v>0</v>
      </c>
      <c r="I55" s="5" t="str">
        <f t="shared" si="3"/>
        <v>Paid</v>
      </c>
    </row>
    <row r="56" spans="1:9" x14ac:dyDescent="0.3">
      <c r="A56" s="5" t="s">
        <v>267</v>
      </c>
      <c r="B56" s="5" t="s">
        <v>44</v>
      </c>
      <c r="C56" s="6">
        <v>46235</v>
      </c>
      <c r="D56" s="6">
        <v>46241</v>
      </c>
      <c r="E56" s="5"/>
      <c r="F56" s="7">
        <f>SUMIFS('Invoice Lines'!$G$2:$G$319,'Invoice Lines'!$A$2:$A$319,A56)</f>
        <v>180</v>
      </c>
      <c r="G56" s="7">
        <f>SUMIFS(Receipts!$D$2:$D$149,Receipts!$B$2:$B$149,A56)</f>
        <v>180</v>
      </c>
      <c r="H56" s="7">
        <f t="shared" si="2"/>
        <v>0</v>
      </c>
      <c r="I56" s="5" t="str">
        <f t="shared" si="3"/>
        <v>Paid</v>
      </c>
    </row>
    <row r="57" spans="1:9" x14ac:dyDescent="0.3">
      <c r="A57" s="5" t="s">
        <v>268</v>
      </c>
      <c r="B57" s="5" t="s">
        <v>48</v>
      </c>
      <c r="C57" s="6">
        <v>46235</v>
      </c>
      <c r="D57" s="6">
        <v>46241</v>
      </c>
      <c r="E57" s="5"/>
      <c r="F57" s="7">
        <f>SUMIFS('Invoice Lines'!$G$2:$G$319,'Invoice Lines'!$A$2:$A$319,A57)</f>
        <v>240</v>
      </c>
      <c r="G57" s="7">
        <f>SUMIFS(Receipts!$D$2:$D$149,Receipts!$B$2:$B$149,A57)</f>
        <v>240</v>
      </c>
      <c r="H57" s="7">
        <f t="shared" si="2"/>
        <v>0</v>
      </c>
      <c r="I57" s="5" t="str">
        <f t="shared" si="3"/>
        <v>Paid</v>
      </c>
    </row>
    <row r="58" spans="1:9" x14ac:dyDescent="0.3">
      <c r="A58" s="5" t="s">
        <v>269</v>
      </c>
      <c r="B58" s="5" t="s">
        <v>53</v>
      </c>
      <c r="C58" s="6">
        <v>46235</v>
      </c>
      <c r="D58" s="6">
        <v>46241</v>
      </c>
      <c r="E58" s="5"/>
      <c r="F58" s="7">
        <f>SUMIFS('Invoice Lines'!$G$2:$G$319,'Invoice Lines'!$A$2:$A$319,A58)</f>
        <v>150</v>
      </c>
      <c r="G58" s="7">
        <f>SUMIFS(Receipts!$D$2:$D$149,Receipts!$B$2:$B$149,A58)</f>
        <v>150</v>
      </c>
      <c r="H58" s="7">
        <f t="shared" si="2"/>
        <v>0</v>
      </c>
      <c r="I58" s="5" t="str">
        <f t="shared" si="3"/>
        <v>Paid</v>
      </c>
    </row>
    <row r="59" spans="1:9" x14ac:dyDescent="0.3">
      <c r="A59" s="5" t="s">
        <v>270</v>
      </c>
      <c r="B59" s="5" t="s">
        <v>58</v>
      </c>
      <c r="C59" s="6">
        <v>46235</v>
      </c>
      <c r="D59" s="6">
        <v>46241</v>
      </c>
      <c r="E59" s="5"/>
      <c r="F59" s="7">
        <f>SUMIFS('Invoice Lines'!$G$2:$G$319,'Invoice Lines'!$A$2:$A$319,A59)</f>
        <v>120</v>
      </c>
      <c r="G59" s="7">
        <f>SUMIFS(Receipts!$D$2:$D$149,Receipts!$B$2:$B$149,A59)</f>
        <v>120</v>
      </c>
      <c r="H59" s="7">
        <f t="shared" si="2"/>
        <v>0</v>
      </c>
      <c r="I59" s="5" t="str">
        <f t="shared" si="3"/>
        <v>Paid</v>
      </c>
    </row>
    <row r="60" spans="1:9" x14ac:dyDescent="0.3">
      <c r="A60" s="5" t="s">
        <v>271</v>
      </c>
      <c r="B60" s="5" t="s">
        <v>62</v>
      </c>
      <c r="C60" s="6">
        <v>46235</v>
      </c>
      <c r="D60" s="6">
        <v>46241</v>
      </c>
      <c r="E60" s="5"/>
      <c r="F60" s="7">
        <f>SUMIFS('Invoice Lines'!$G$2:$G$319,'Invoice Lines'!$A$2:$A$319,A60)</f>
        <v>240</v>
      </c>
      <c r="G60" s="7">
        <f>SUMIFS(Receipts!$D$2:$D$149,Receipts!$B$2:$B$149,A60)</f>
        <v>240</v>
      </c>
      <c r="H60" s="7">
        <f t="shared" si="2"/>
        <v>0</v>
      </c>
      <c r="I60" s="5" t="str">
        <f t="shared" si="3"/>
        <v>Paid</v>
      </c>
    </row>
    <row r="61" spans="1:9" x14ac:dyDescent="0.3">
      <c r="A61" s="5" t="s">
        <v>272</v>
      </c>
      <c r="B61" s="5" t="s">
        <v>65</v>
      </c>
      <c r="C61" s="6">
        <v>46235</v>
      </c>
      <c r="D61" s="6">
        <v>46241</v>
      </c>
      <c r="E61" s="5"/>
      <c r="F61" s="7">
        <f>SUMIFS('Invoice Lines'!$G$2:$G$319,'Invoice Lines'!$A$2:$A$319,A61)</f>
        <v>360</v>
      </c>
      <c r="G61" s="7">
        <f>SUMIFS(Receipts!$D$2:$D$149,Receipts!$B$2:$B$149,A61)</f>
        <v>360</v>
      </c>
      <c r="H61" s="7">
        <f t="shared" si="2"/>
        <v>0</v>
      </c>
      <c r="I61" s="5" t="str">
        <f t="shared" si="3"/>
        <v>Paid</v>
      </c>
    </row>
    <row r="62" spans="1:9" x14ac:dyDescent="0.3">
      <c r="A62" s="5" t="s">
        <v>273</v>
      </c>
      <c r="B62" s="5" t="s">
        <v>70</v>
      </c>
      <c r="C62" s="6">
        <v>46235</v>
      </c>
      <c r="D62" s="6">
        <v>46241</v>
      </c>
      <c r="E62" s="5"/>
      <c r="F62" s="7">
        <f>SUMIFS('Invoice Lines'!$G$2:$G$319,'Invoice Lines'!$A$2:$A$319,A62)</f>
        <v>150</v>
      </c>
      <c r="G62" s="7">
        <f>SUMIFS(Receipts!$D$2:$D$149,Receipts!$B$2:$B$149,A62)</f>
        <v>150</v>
      </c>
      <c r="H62" s="7">
        <f t="shared" si="2"/>
        <v>0</v>
      </c>
      <c r="I62" s="5" t="str">
        <f t="shared" si="3"/>
        <v>Paid</v>
      </c>
    </row>
    <row r="63" spans="1:9" x14ac:dyDescent="0.3">
      <c r="A63" s="5" t="s">
        <v>274</v>
      </c>
      <c r="B63" s="5" t="s">
        <v>74</v>
      </c>
      <c r="C63" s="6">
        <v>46235</v>
      </c>
      <c r="D63" s="6">
        <v>46241</v>
      </c>
      <c r="E63" s="5"/>
      <c r="F63" s="7">
        <f>SUMIFS('Invoice Lines'!$G$2:$G$319,'Invoice Lines'!$A$2:$A$319,A63)</f>
        <v>540</v>
      </c>
      <c r="G63" s="7">
        <f>SUMIFS(Receipts!$D$2:$D$149,Receipts!$B$2:$B$149,A63)</f>
        <v>540</v>
      </c>
      <c r="H63" s="7">
        <f t="shared" si="2"/>
        <v>0</v>
      </c>
      <c r="I63" s="5" t="str">
        <f t="shared" si="3"/>
        <v>Paid</v>
      </c>
    </row>
    <row r="64" spans="1:9" x14ac:dyDescent="0.3">
      <c r="A64" s="5" t="s">
        <v>275</v>
      </c>
      <c r="B64" s="5" t="s">
        <v>78</v>
      </c>
      <c r="C64" s="6">
        <v>46235</v>
      </c>
      <c r="D64" s="6">
        <v>46241</v>
      </c>
      <c r="E64" s="5"/>
      <c r="F64" s="7">
        <f>SUMIFS('Invoice Lines'!$G$2:$G$319,'Invoice Lines'!$A$2:$A$319,A64)</f>
        <v>290</v>
      </c>
      <c r="G64" s="7">
        <f>SUMIFS(Receipts!$D$2:$D$149,Receipts!$B$2:$B$149,A64)</f>
        <v>290</v>
      </c>
      <c r="H64" s="7">
        <f t="shared" si="2"/>
        <v>0</v>
      </c>
      <c r="I64" s="5" t="str">
        <f t="shared" si="3"/>
        <v>Paid</v>
      </c>
    </row>
    <row r="65" spans="1:9" x14ac:dyDescent="0.3">
      <c r="A65" s="5" t="s">
        <v>276</v>
      </c>
      <c r="B65" s="5" t="s">
        <v>81</v>
      </c>
      <c r="C65" s="6">
        <v>46235</v>
      </c>
      <c r="D65" s="6">
        <v>46241</v>
      </c>
      <c r="E65" s="5"/>
      <c r="F65" s="7">
        <f>SUMIFS('Invoice Lines'!$G$2:$G$319,'Invoice Lines'!$A$2:$A$319,A65)</f>
        <v>360</v>
      </c>
      <c r="G65" s="7">
        <f>SUMIFS(Receipts!$D$2:$D$149,Receipts!$B$2:$B$149,A65)</f>
        <v>360</v>
      </c>
      <c r="H65" s="7">
        <f t="shared" si="2"/>
        <v>0</v>
      </c>
      <c r="I65" s="5" t="str">
        <f t="shared" si="3"/>
        <v>Paid</v>
      </c>
    </row>
    <row r="66" spans="1:9" x14ac:dyDescent="0.3">
      <c r="A66" s="5" t="s">
        <v>277</v>
      </c>
      <c r="B66" s="5" t="s">
        <v>83</v>
      </c>
      <c r="C66" s="6">
        <v>46235</v>
      </c>
      <c r="D66" s="6">
        <v>46241</v>
      </c>
      <c r="E66" s="5"/>
      <c r="F66" s="7">
        <f>SUMIFS('Invoice Lines'!$G$2:$G$319,'Invoice Lines'!$A$2:$A$319,A66)</f>
        <v>300</v>
      </c>
      <c r="G66" s="7">
        <f>SUMIFS(Receipts!$D$2:$D$149,Receipts!$B$2:$B$149,A66)</f>
        <v>300</v>
      </c>
      <c r="H66" s="7">
        <f t="shared" ref="H66:H97" si="4">IF(E66="Yes",0,F66-G66)</f>
        <v>0</v>
      </c>
      <c r="I66" s="5" t="str">
        <f t="shared" ref="I66:I97" si="5">IF(E66="Yes","Void",IF(H66&lt;=0,"Paid",IF(G66&gt;0,"Partially Paid","Issued")))</f>
        <v>Paid</v>
      </c>
    </row>
    <row r="67" spans="1:9" x14ac:dyDescent="0.3">
      <c r="A67" s="5" t="s">
        <v>278</v>
      </c>
      <c r="B67" s="5" t="s">
        <v>88</v>
      </c>
      <c r="C67" s="6">
        <v>46235</v>
      </c>
      <c r="D67" s="6">
        <v>46241</v>
      </c>
      <c r="E67" s="5"/>
      <c r="F67" s="7">
        <f>SUMIFS('Invoice Lines'!$G$2:$G$319,'Invoice Lines'!$A$2:$A$319,A67)</f>
        <v>300</v>
      </c>
      <c r="G67" s="7">
        <f>SUMIFS(Receipts!$D$2:$D$149,Receipts!$B$2:$B$149,A67)</f>
        <v>300</v>
      </c>
      <c r="H67" s="7">
        <f t="shared" si="4"/>
        <v>0</v>
      </c>
      <c r="I67" s="5" t="str">
        <f t="shared" si="5"/>
        <v>Paid</v>
      </c>
    </row>
    <row r="68" spans="1:9" x14ac:dyDescent="0.3">
      <c r="A68" s="5" t="s">
        <v>279</v>
      </c>
      <c r="B68" s="5" t="s">
        <v>91</v>
      </c>
      <c r="C68" s="6">
        <v>46235</v>
      </c>
      <c r="D68" s="6">
        <v>46241</v>
      </c>
      <c r="E68" s="5"/>
      <c r="F68" s="7">
        <f>SUMIFS('Invoice Lines'!$G$2:$G$319,'Invoice Lines'!$A$2:$A$319,A68)</f>
        <v>360</v>
      </c>
      <c r="G68" s="7">
        <f>SUMIFS(Receipts!$D$2:$D$149,Receipts!$B$2:$B$149,A68)</f>
        <v>360</v>
      </c>
      <c r="H68" s="7">
        <f t="shared" si="4"/>
        <v>0</v>
      </c>
      <c r="I68" s="5" t="str">
        <f t="shared" si="5"/>
        <v>Paid</v>
      </c>
    </row>
    <row r="69" spans="1:9" x14ac:dyDescent="0.3">
      <c r="A69" s="5" t="s">
        <v>280</v>
      </c>
      <c r="B69" s="5" t="s">
        <v>96</v>
      </c>
      <c r="C69" s="6">
        <v>46235</v>
      </c>
      <c r="D69" s="6">
        <v>46241</v>
      </c>
      <c r="E69" s="5"/>
      <c r="F69" s="7">
        <f>SUMIFS('Invoice Lines'!$G$2:$G$319,'Invoice Lines'!$A$2:$A$319,A69)</f>
        <v>240</v>
      </c>
      <c r="G69" s="7">
        <f>SUMIFS(Receipts!$D$2:$D$149,Receipts!$B$2:$B$149,A69)</f>
        <v>240</v>
      </c>
      <c r="H69" s="7">
        <f t="shared" si="4"/>
        <v>0</v>
      </c>
      <c r="I69" s="5" t="str">
        <f t="shared" si="5"/>
        <v>Paid</v>
      </c>
    </row>
    <row r="70" spans="1:9" x14ac:dyDescent="0.3">
      <c r="A70" s="5" t="s">
        <v>281</v>
      </c>
      <c r="B70" s="5" t="s">
        <v>98</v>
      </c>
      <c r="C70" s="6">
        <v>46235</v>
      </c>
      <c r="D70" s="6">
        <v>46241</v>
      </c>
      <c r="E70" s="5"/>
      <c r="F70" s="7">
        <f>SUMIFS('Invoice Lines'!$G$2:$G$319,'Invoice Lines'!$A$2:$A$319,A70)</f>
        <v>360</v>
      </c>
      <c r="G70" s="7">
        <f>SUMIFS(Receipts!$D$2:$D$149,Receipts!$B$2:$B$149,A70)</f>
        <v>360</v>
      </c>
      <c r="H70" s="7">
        <f t="shared" si="4"/>
        <v>0</v>
      </c>
      <c r="I70" s="5" t="str">
        <f t="shared" si="5"/>
        <v>Paid</v>
      </c>
    </row>
    <row r="71" spans="1:9" x14ac:dyDescent="0.3">
      <c r="A71" s="5" t="s">
        <v>282</v>
      </c>
      <c r="B71" s="5" t="s">
        <v>102</v>
      </c>
      <c r="C71" s="6">
        <v>46235</v>
      </c>
      <c r="D71" s="6">
        <v>46241</v>
      </c>
      <c r="E71" s="5"/>
      <c r="F71" s="7">
        <f>SUMIFS('Invoice Lines'!$G$2:$G$319,'Invoice Lines'!$A$2:$A$319,A71)</f>
        <v>230</v>
      </c>
      <c r="G71" s="7">
        <f>SUMIFS(Receipts!$D$2:$D$149,Receipts!$B$2:$B$149,A71)</f>
        <v>230</v>
      </c>
      <c r="H71" s="7">
        <f t="shared" si="4"/>
        <v>0</v>
      </c>
      <c r="I71" s="5" t="str">
        <f t="shared" si="5"/>
        <v>Paid</v>
      </c>
    </row>
    <row r="72" spans="1:9" x14ac:dyDescent="0.3">
      <c r="A72" s="5" t="s">
        <v>283</v>
      </c>
      <c r="B72" s="5" t="s">
        <v>107</v>
      </c>
      <c r="C72" s="6">
        <v>46235</v>
      </c>
      <c r="D72" s="6">
        <v>46241</v>
      </c>
      <c r="E72" s="5"/>
      <c r="F72" s="7">
        <f>SUMIFS('Invoice Lines'!$G$2:$G$319,'Invoice Lines'!$A$2:$A$319,A72)</f>
        <v>540</v>
      </c>
      <c r="G72" s="7">
        <f>SUMIFS(Receipts!$D$2:$D$149,Receipts!$B$2:$B$149,A72)</f>
        <v>540</v>
      </c>
      <c r="H72" s="7">
        <f t="shared" si="4"/>
        <v>0</v>
      </c>
      <c r="I72" s="5" t="str">
        <f t="shared" si="5"/>
        <v>Paid</v>
      </c>
    </row>
    <row r="73" spans="1:9" x14ac:dyDescent="0.3">
      <c r="A73" s="5" t="s">
        <v>284</v>
      </c>
      <c r="B73" s="5" t="s">
        <v>111</v>
      </c>
      <c r="C73" s="6">
        <v>46235</v>
      </c>
      <c r="D73" s="6">
        <v>46241</v>
      </c>
      <c r="E73" s="5"/>
      <c r="F73" s="7">
        <f>SUMIFS('Invoice Lines'!$G$2:$G$319,'Invoice Lines'!$A$2:$A$319,A73)</f>
        <v>360</v>
      </c>
      <c r="G73" s="7">
        <f>SUMIFS(Receipts!$D$2:$D$149,Receipts!$B$2:$B$149,A73)</f>
        <v>360</v>
      </c>
      <c r="H73" s="7">
        <f t="shared" si="4"/>
        <v>0</v>
      </c>
      <c r="I73" s="5" t="str">
        <f t="shared" si="5"/>
        <v>Paid</v>
      </c>
    </row>
    <row r="74" spans="1:9" x14ac:dyDescent="0.3">
      <c r="A74" s="5" t="s">
        <v>285</v>
      </c>
      <c r="B74" s="5" t="s">
        <v>115</v>
      </c>
      <c r="C74" s="6">
        <v>46235</v>
      </c>
      <c r="D74" s="6">
        <v>46241</v>
      </c>
      <c r="E74" s="5"/>
      <c r="F74" s="7">
        <f>SUMIFS('Invoice Lines'!$G$2:$G$319,'Invoice Lines'!$A$2:$A$319,A74)</f>
        <v>240</v>
      </c>
      <c r="G74" s="7">
        <f>SUMIFS(Receipts!$D$2:$D$149,Receipts!$B$2:$B$149,A74)</f>
        <v>240</v>
      </c>
      <c r="H74" s="7">
        <f t="shared" si="4"/>
        <v>0</v>
      </c>
      <c r="I74" s="5" t="str">
        <f t="shared" si="5"/>
        <v>Paid</v>
      </c>
    </row>
    <row r="75" spans="1:9" x14ac:dyDescent="0.3">
      <c r="A75" s="5" t="s">
        <v>286</v>
      </c>
      <c r="B75" s="5" t="s">
        <v>117</v>
      </c>
      <c r="C75" s="6">
        <v>46235</v>
      </c>
      <c r="D75" s="6">
        <v>46241</v>
      </c>
      <c r="E75" s="5"/>
      <c r="F75" s="7">
        <f>SUMIFS('Invoice Lines'!$G$2:$G$319,'Invoice Lines'!$A$2:$A$319,A75)</f>
        <v>150</v>
      </c>
      <c r="G75" s="7">
        <f>SUMIFS(Receipts!$D$2:$D$149,Receipts!$B$2:$B$149,A75)</f>
        <v>150</v>
      </c>
      <c r="H75" s="7">
        <f t="shared" si="4"/>
        <v>0</v>
      </c>
      <c r="I75" s="5" t="str">
        <f t="shared" si="5"/>
        <v>Paid</v>
      </c>
    </row>
    <row r="76" spans="1:9" x14ac:dyDescent="0.3">
      <c r="A76" s="5" t="s">
        <v>287</v>
      </c>
      <c r="B76" s="5" t="s">
        <v>120</v>
      </c>
      <c r="C76" s="6">
        <v>46235</v>
      </c>
      <c r="D76" s="6">
        <v>46241</v>
      </c>
      <c r="E76" s="5"/>
      <c r="F76" s="7">
        <f>SUMIFS('Invoice Lines'!$G$2:$G$319,'Invoice Lines'!$A$2:$A$319,A76)</f>
        <v>120</v>
      </c>
      <c r="G76" s="7">
        <f>SUMIFS(Receipts!$D$2:$D$149,Receipts!$B$2:$B$149,A76)</f>
        <v>120</v>
      </c>
      <c r="H76" s="7">
        <f t="shared" si="4"/>
        <v>0</v>
      </c>
      <c r="I76" s="5" t="str">
        <f t="shared" si="5"/>
        <v>Paid</v>
      </c>
    </row>
    <row r="77" spans="1:9" x14ac:dyDescent="0.3">
      <c r="A77" s="5" t="s">
        <v>288</v>
      </c>
      <c r="B77" s="5" t="s">
        <v>124</v>
      </c>
      <c r="C77" s="6">
        <v>46235</v>
      </c>
      <c r="D77" s="6">
        <v>46241</v>
      </c>
      <c r="E77" s="5"/>
      <c r="F77" s="7">
        <f>SUMIFS('Invoice Lines'!$G$2:$G$319,'Invoice Lines'!$A$2:$A$319,A77)</f>
        <v>180</v>
      </c>
      <c r="G77" s="7">
        <f>SUMIFS(Receipts!$D$2:$D$149,Receipts!$B$2:$B$149,A77)</f>
        <v>180</v>
      </c>
      <c r="H77" s="7">
        <f t="shared" si="4"/>
        <v>0</v>
      </c>
      <c r="I77" s="5" t="str">
        <f t="shared" si="5"/>
        <v>Paid</v>
      </c>
    </row>
    <row r="78" spans="1:9" x14ac:dyDescent="0.3">
      <c r="A78" s="5" t="s">
        <v>289</v>
      </c>
      <c r="B78" s="5" t="s">
        <v>128</v>
      </c>
      <c r="C78" s="6">
        <v>46235</v>
      </c>
      <c r="D78" s="6">
        <v>46241</v>
      </c>
      <c r="E78" s="5"/>
      <c r="F78" s="7">
        <f>SUMIFS('Invoice Lines'!$G$2:$G$319,'Invoice Lines'!$A$2:$A$319,A78)</f>
        <v>360</v>
      </c>
      <c r="G78" s="7">
        <f>SUMIFS(Receipts!$D$2:$D$149,Receipts!$B$2:$B$149,A78)</f>
        <v>360</v>
      </c>
      <c r="H78" s="7">
        <f t="shared" si="4"/>
        <v>0</v>
      </c>
      <c r="I78" s="5" t="str">
        <f t="shared" si="5"/>
        <v>Paid</v>
      </c>
    </row>
    <row r="79" spans="1:9" x14ac:dyDescent="0.3">
      <c r="A79" s="5" t="s">
        <v>290</v>
      </c>
      <c r="B79" s="5" t="s">
        <v>130</v>
      </c>
      <c r="C79" s="6">
        <v>46235</v>
      </c>
      <c r="D79" s="6">
        <v>46241</v>
      </c>
      <c r="E79" s="5"/>
      <c r="F79" s="7">
        <f>SUMIFS('Invoice Lines'!$G$2:$G$319,'Invoice Lines'!$A$2:$A$319,A79)</f>
        <v>540</v>
      </c>
      <c r="G79" s="7">
        <f>SUMIFS(Receipts!$D$2:$D$149,Receipts!$B$2:$B$149,A79)</f>
        <v>540</v>
      </c>
      <c r="H79" s="7">
        <f t="shared" si="4"/>
        <v>0</v>
      </c>
      <c r="I79" s="5" t="str">
        <f t="shared" si="5"/>
        <v>Paid</v>
      </c>
    </row>
    <row r="80" spans="1:9" x14ac:dyDescent="0.3">
      <c r="A80" s="5" t="s">
        <v>291</v>
      </c>
      <c r="B80" s="5" t="s">
        <v>134</v>
      </c>
      <c r="C80" s="6">
        <v>46235</v>
      </c>
      <c r="D80" s="6">
        <v>46241</v>
      </c>
      <c r="E80" s="5"/>
      <c r="F80" s="7">
        <f>SUMIFS('Invoice Lines'!$G$2:$G$319,'Invoice Lines'!$A$2:$A$319,A80)</f>
        <v>540</v>
      </c>
      <c r="G80" s="7">
        <f>SUMIFS(Receipts!$D$2:$D$149,Receipts!$B$2:$B$149,A80)</f>
        <v>540</v>
      </c>
      <c r="H80" s="7">
        <f t="shared" si="4"/>
        <v>0</v>
      </c>
      <c r="I80" s="5" t="str">
        <f t="shared" si="5"/>
        <v>Paid</v>
      </c>
    </row>
    <row r="81" spans="1:9" x14ac:dyDescent="0.3">
      <c r="A81" s="5" t="s">
        <v>292</v>
      </c>
      <c r="B81" s="5" t="s">
        <v>138</v>
      </c>
      <c r="C81" s="6">
        <v>46235</v>
      </c>
      <c r="D81" s="6">
        <v>46241</v>
      </c>
      <c r="E81" s="5"/>
      <c r="F81" s="7">
        <f>SUMIFS('Invoice Lines'!$G$2:$G$319,'Invoice Lines'!$A$2:$A$319,A81)</f>
        <v>240</v>
      </c>
      <c r="G81" s="7">
        <f>SUMIFS(Receipts!$D$2:$D$149,Receipts!$B$2:$B$149,A81)</f>
        <v>240</v>
      </c>
      <c r="H81" s="7">
        <f t="shared" si="4"/>
        <v>0</v>
      </c>
      <c r="I81" s="5" t="str">
        <f t="shared" si="5"/>
        <v>Paid</v>
      </c>
    </row>
    <row r="82" spans="1:9" x14ac:dyDescent="0.3">
      <c r="A82" s="5" t="s">
        <v>293</v>
      </c>
      <c r="B82" s="5" t="s">
        <v>141</v>
      </c>
      <c r="C82" s="6">
        <v>46235</v>
      </c>
      <c r="D82" s="6">
        <v>46241</v>
      </c>
      <c r="E82" s="5"/>
      <c r="F82" s="7">
        <f>SUMIFS('Invoice Lines'!$G$2:$G$319,'Invoice Lines'!$A$2:$A$319,A82)</f>
        <v>120</v>
      </c>
      <c r="G82" s="7">
        <f>SUMIFS(Receipts!$D$2:$D$149,Receipts!$B$2:$B$149,A82)</f>
        <v>120</v>
      </c>
      <c r="H82" s="7">
        <f t="shared" si="4"/>
        <v>0</v>
      </c>
      <c r="I82" s="5" t="str">
        <f t="shared" si="5"/>
        <v>Paid</v>
      </c>
    </row>
    <row r="83" spans="1:9" x14ac:dyDescent="0.3">
      <c r="A83" s="5" t="s">
        <v>294</v>
      </c>
      <c r="B83" s="5" t="s">
        <v>143</v>
      </c>
      <c r="C83" s="6">
        <v>46235</v>
      </c>
      <c r="D83" s="6">
        <v>46241</v>
      </c>
      <c r="E83" s="5"/>
      <c r="F83" s="7">
        <f>SUMIFS('Invoice Lines'!$G$2:$G$319,'Invoice Lines'!$A$2:$A$319,A83)</f>
        <v>170</v>
      </c>
      <c r="G83" s="7">
        <f>SUMIFS(Receipts!$D$2:$D$149,Receipts!$B$2:$B$149,A83)</f>
        <v>170</v>
      </c>
      <c r="H83" s="7">
        <f t="shared" si="4"/>
        <v>0</v>
      </c>
      <c r="I83" s="5" t="str">
        <f t="shared" si="5"/>
        <v>Paid</v>
      </c>
    </row>
    <row r="84" spans="1:9" x14ac:dyDescent="0.3">
      <c r="A84" s="5" t="s">
        <v>295</v>
      </c>
      <c r="B84" s="5" t="s">
        <v>147</v>
      </c>
      <c r="C84" s="6">
        <v>46235</v>
      </c>
      <c r="D84" s="6">
        <v>46241</v>
      </c>
      <c r="E84" s="5"/>
      <c r="F84" s="7">
        <f>SUMIFS('Invoice Lines'!$G$2:$G$319,'Invoice Lines'!$A$2:$A$319,A84)</f>
        <v>360</v>
      </c>
      <c r="G84" s="7">
        <f>SUMIFS(Receipts!$D$2:$D$149,Receipts!$B$2:$B$149,A84)</f>
        <v>360</v>
      </c>
      <c r="H84" s="7">
        <f t="shared" si="4"/>
        <v>0</v>
      </c>
      <c r="I84" s="5" t="str">
        <f t="shared" si="5"/>
        <v>Paid</v>
      </c>
    </row>
    <row r="85" spans="1:9" x14ac:dyDescent="0.3">
      <c r="A85" s="5" t="s">
        <v>296</v>
      </c>
      <c r="B85" s="5" t="s">
        <v>149</v>
      </c>
      <c r="C85" s="6">
        <v>46235</v>
      </c>
      <c r="D85" s="6">
        <v>46241</v>
      </c>
      <c r="E85" s="5"/>
      <c r="F85" s="7">
        <f>SUMIFS('Invoice Lines'!$G$2:$G$319,'Invoice Lines'!$A$2:$A$319,A85)</f>
        <v>410</v>
      </c>
      <c r="G85" s="7">
        <f>SUMIFS(Receipts!$D$2:$D$149,Receipts!$B$2:$B$149,A85)</f>
        <v>410</v>
      </c>
      <c r="H85" s="7">
        <f t="shared" si="4"/>
        <v>0</v>
      </c>
      <c r="I85" s="5" t="str">
        <f t="shared" si="5"/>
        <v>Paid</v>
      </c>
    </row>
    <row r="86" spans="1:9" x14ac:dyDescent="0.3">
      <c r="A86" s="5" t="s">
        <v>297</v>
      </c>
      <c r="B86" s="5" t="s">
        <v>151</v>
      </c>
      <c r="C86" s="6">
        <v>46235</v>
      </c>
      <c r="D86" s="6">
        <v>46241</v>
      </c>
      <c r="E86" s="5"/>
      <c r="F86" s="7">
        <f>SUMIFS('Invoice Lines'!$G$2:$G$319,'Invoice Lines'!$A$2:$A$319,A86)</f>
        <v>360</v>
      </c>
      <c r="G86" s="7">
        <f>SUMIFS(Receipts!$D$2:$D$149,Receipts!$B$2:$B$149,A86)</f>
        <v>360</v>
      </c>
      <c r="H86" s="7">
        <f t="shared" si="4"/>
        <v>0</v>
      </c>
      <c r="I86" s="5" t="str">
        <f t="shared" si="5"/>
        <v>Paid</v>
      </c>
    </row>
    <row r="87" spans="1:9" x14ac:dyDescent="0.3">
      <c r="A87" s="5" t="s">
        <v>298</v>
      </c>
      <c r="B87" s="5" t="s">
        <v>155</v>
      </c>
      <c r="C87" s="6">
        <v>46235</v>
      </c>
      <c r="D87" s="6">
        <v>46241</v>
      </c>
      <c r="E87" s="5"/>
      <c r="F87" s="7">
        <f>SUMIFS('Invoice Lines'!$G$2:$G$319,'Invoice Lines'!$A$2:$A$319,A87)</f>
        <v>450</v>
      </c>
      <c r="G87" s="7">
        <f>SUMIFS(Receipts!$D$2:$D$149,Receipts!$B$2:$B$149,A87)</f>
        <v>450</v>
      </c>
      <c r="H87" s="7">
        <f t="shared" si="4"/>
        <v>0</v>
      </c>
      <c r="I87" s="5" t="str">
        <f t="shared" si="5"/>
        <v>Paid</v>
      </c>
    </row>
    <row r="88" spans="1:9" x14ac:dyDescent="0.3">
      <c r="A88" s="5" t="s">
        <v>299</v>
      </c>
      <c r="B88" s="5" t="s">
        <v>157</v>
      </c>
      <c r="C88" s="6">
        <v>46235</v>
      </c>
      <c r="D88" s="6">
        <v>46241</v>
      </c>
      <c r="E88" s="5"/>
      <c r="F88" s="7">
        <f>SUMIFS('Invoice Lines'!$G$2:$G$319,'Invoice Lines'!$A$2:$A$319,A88)</f>
        <v>360</v>
      </c>
      <c r="G88" s="7">
        <f>SUMIFS(Receipts!$D$2:$D$149,Receipts!$B$2:$B$149,A88)</f>
        <v>360</v>
      </c>
      <c r="H88" s="7">
        <f t="shared" si="4"/>
        <v>0</v>
      </c>
      <c r="I88" s="5" t="str">
        <f t="shared" si="5"/>
        <v>Paid</v>
      </c>
    </row>
    <row r="89" spans="1:9" x14ac:dyDescent="0.3">
      <c r="A89" s="5" t="s">
        <v>300</v>
      </c>
      <c r="B89" s="5" t="s">
        <v>159</v>
      </c>
      <c r="C89" s="6">
        <v>46235</v>
      </c>
      <c r="D89" s="6">
        <v>46241</v>
      </c>
      <c r="E89" s="5"/>
      <c r="F89" s="7">
        <f>SUMIFS('Invoice Lines'!$G$2:$G$319,'Invoice Lines'!$A$2:$A$319,A89)</f>
        <v>240</v>
      </c>
      <c r="G89" s="7">
        <f>SUMIFS(Receipts!$D$2:$D$149,Receipts!$B$2:$B$149,A89)</f>
        <v>240</v>
      </c>
      <c r="H89" s="7">
        <f t="shared" si="4"/>
        <v>0</v>
      </c>
      <c r="I89" s="5" t="str">
        <f t="shared" si="5"/>
        <v>Paid</v>
      </c>
    </row>
    <row r="90" spans="1:9" x14ac:dyDescent="0.3">
      <c r="A90" s="5" t="s">
        <v>301</v>
      </c>
      <c r="B90" s="5" t="s">
        <v>161</v>
      </c>
      <c r="C90" s="6">
        <v>46235</v>
      </c>
      <c r="D90" s="6">
        <v>46241</v>
      </c>
      <c r="E90" s="5"/>
      <c r="F90" s="7">
        <f>SUMIFS('Invoice Lines'!$G$2:$G$319,'Invoice Lines'!$A$2:$A$319,A90)</f>
        <v>150</v>
      </c>
      <c r="G90" s="7">
        <f>SUMIFS(Receipts!$D$2:$D$149,Receipts!$B$2:$B$149,A90)</f>
        <v>150</v>
      </c>
      <c r="H90" s="7">
        <f t="shared" si="4"/>
        <v>0</v>
      </c>
      <c r="I90" s="5" t="str">
        <f t="shared" si="5"/>
        <v>Paid</v>
      </c>
    </row>
    <row r="91" spans="1:9" x14ac:dyDescent="0.3">
      <c r="A91" s="5" t="s">
        <v>302</v>
      </c>
      <c r="B91" s="5" t="s">
        <v>165</v>
      </c>
      <c r="C91" s="6">
        <v>46235</v>
      </c>
      <c r="D91" s="6">
        <v>46241</v>
      </c>
      <c r="E91" s="5"/>
      <c r="F91" s="7">
        <f>SUMIFS('Invoice Lines'!$G$2:$G$319,'Invoice Lines'!$A$2:$A$319,A91)</f>
        <v>360</v>
      </c>
      <c r="G91" s="7">
        <f>SUMIFS(Receipts!$D$2:$D$149,Receipts!$B$2:$B$149,A91)</f>
        <v>360</v>
      </c>
      <c r="H91" s="7">
        <f t="shared" si="4"/>
        <v>0</v>
      </c>
      <c r="I91" s="5" t="str">
        <f t="shared" si="5"/>
        <v>Paid</v>
      </c>
    </row>
    <row r="92" spans="1:9" x14ac:dyDescent="0.3">
      <c r="A92" s="5" t="s">
        <v>303</v>
      </c>
      <c r="B92" s="5" t="s">
        <v>167</v>
      </c>
      <c r="C92" s="6">
        <v>46235</v>
      </c>
      <c r="D92" s="6">
        <v>46241</v>
      </c>
      <c r="E92" s="5"/>
      <c r="F92" s="7">
        <f>SUMIFS('Invoice Lines'!$G$2:$G$319,'Invoice Lines'!$A$2:$A$319,A92)</f>
        <v>300</v>
      </c>
      <c r="G92" s="7">
        <f>SUMIFS(Receipts!$D$2:$D$149,Receipts!$B$2:$B$149,A92)</f>
        <v>300</v>
      </c>
      <c r="H92" s="7">
        <f t="shared" si="4"/>
        <v>0</v>
      </c>
      <c r="I92" s="5" t="str">
        <f t="shared" si="5"/>
        <v>Paid</v>
      </c>
    </row>
    <row r="93" spans="1:9" x14ac:dyDescent="0.3">
      <c r="A93" s="5" t="s">
        <v>304</v>
      </c>
      <c r="B93" s="5" t="s">
        <v>169</v>
      </c>
      <c r="C93" s="6">
        <v>46235</v>
      </c>
      <c r="D93" s="6">
        <v>46241</v>
      </c>
      <c r="E93" s="5"/>
      <c r="F93" s="7">
        <f>SUMIFS('Invoice Lines'!$G$2:$G$319,'Invoice Lines'!$A$2:$A$319,A93)</f>
        <v>240</v>
      </c>
      <c r="G93" s="7">
        <f>SUMIFS(Receipts!$D$2:$D$149,Receipts!$B$2:$B$149,A93)</f>
        <v>240</v>
      </c>
      <c r="H93" s="7">
        <f t="shared" si="4"/>
        <v>0</v>
      </c>
      <c r="I93" s="5" t="str">
        <f t="shared" si="5"/>
        <v>Paid</v>
      </c>
    </row>
    <row r="94" spans="1:9" x14ac:dyDescent="0.3">
      <c r="A94" s="5" t="s">
        <v>305</v>
      </c>
      <c r="B94" s="5" t="s">
        <v>171</v>
      </c>
      <c r="C94" s="6">
        <v>46235</v>
      </c>
      <c r="D94" s="6">
        <v>46241</v>
      </c>
      <c r="E94" s="5"/>
      <c r="F94" s="7">
        <f>SUMIFS('Invoice Lines'!$G$2:$G$319,'Invoice Lines'!$A$2:$A$319,A94)</f>
        <v>540</v>
      </c>
      <c r="G94" s="7">
        <f>SUMIFS(Receipts!$D$2:$D$149,Receipts!$B$2:$B$149,A94)</f>
        <v>540</v>
      </c>
      <c r="H94" s="7">
        <f t="shared" si="4"/>
        <v>0</v>
      </c>
      <c r="I94" s="5" t="str">
        <f t="shared" si="5"/>
        <v>Paid</v>
      </c>
    </row>
    <row r="95" spans="1:9" x14ac:dyDescent="0.3">
      <c r="A95" s="5" t="s">
        <v>306</v>
      </c>
      <c r="B95" s="5" t="s">
        <v>175</v>
      </c>
      <c r="C95" s="6">
        <v>46235</v>
      </c>
      <c r="D95" s="6">
        <v>46241</v>
      </c>
      <c r="E95" s="5"/>
      <c r="F95" s="7">
        <f>SUMIFS('Invoice Lines'!$G$2:$G$319,'Invoice Lines'!$A$2:$A$319,A95)</f>
        <v>150</v>
      </c>
      <c r="G95" s="7">
        <f>SUMIFS(Receipts!$D$2:$D$149,Receipts!$B$2:$B$149,A95)</f>
        <v>150</v>
      </c>
      <c r="H95" s="7">
        <f t="shared" si="4"/>
        <v>0</v>
      </c>
      <c r="I95" s="5" t="str">
        <f t="shared" si="5"/>
        <v>Paid</v>
      </c>
    </row>
    <row r="96" spans="1:9" x14ac:dyDescent="0.3">
      <c r="A96" s="5" t="s">
        <v>307</v>
      </c>
      <c r="B96" s="5" t="s">
        <v>178</v>
      </c>
      <c r="C96" s="6">
        <v>46235</v>
      </c>
      <c r="D96" s="6">
        <v>46241</v>
      </c>
      <c r="E96" s="5"/>
      <c r="F96" s="7">
        <f>SUMIFS('Invoice Lines'!$G$2:$G$319,'Invoice Lines'!$A$2:$A$319,A96)</f>
        <v>180</v>
      </c>
      <c r="G96" s="7">
        <f>SUMIFS(Receipts!$D$2:$D$149,Receipts!$B$2:$B$149,A96)</f>
        <v>180</v>
      </c>
      <c r="H96" s="7">
        <f t="shared" si="4"/>
        <v>0</v>
      </c>
      <c r="I96" s="5" t="str">
        <f t="shared" si="5"/>
        <v>Paid</v>
      </c>
    </row>
    <row r="97" spans="1:9" x14ac:dyDescent="0.3">
      <c r="A97" s="5" t="s">
        <v>308</v>
      </c>
      <c r="B97" s="5" t="s">
        <v>180</v>
      </c>
      <c r="C97" s="6">
        <v>46235</v>
      </c>
      <c r="D97" s="6">
        <v>46241</v>
      </c>
      <c r="E97" s="5"/>
      <c r="F97" s="7">
        <f>SUMIFS('Invoice Lines'!$G$2:$G$319,'Invoice Lines'!$A$2:$A$319,A97)</f>
        <v>360</v>
      </c>
      <c r="G97" s="7">
        <f>SUMIFS(Receipts!$D$2:$D$149,Receipts!$B$2:$B$149,A97)</f>
        <v>360</v>
      </c>
      <c r="H97" s="7">
        <f t="shared" si="4"/>
        <v>0</v>
      </c>
      <c r="I97" s="5" t="str">
        <f t="shared" si="5"/>
        <v>Paid</v>
      </c>
    </row>
    <row r="98" spans="1:9" x14ac:dyDescent="0.3">
      <c r="A98" s="5" t="s">
        <v>309</v>
      </c>
      <c r="B98" s="5" t="s">
        <v>182</v>
      </c>
      <c r="C98" s="6">
        <v>46235</v>
      </c>
      <c r="D98" s="6">
        <v>46241</v>
      </c>
      <c r="E98" s="5"/>
      <c r="F98" s="7">
        <f>SUMIFS('Invoice Lines'!$G$2:$G$319,'Invoice Lines'!$A$2:$A$319,A98)</f>
        <v>180</v>
      </c>
      <c r="G98" s="7">
        <f>SUMIFS(Receipts!$D$2:$D$149,Receipts!$B$2:$B$149,A98)</f>
        <v>180</v>
      </c>
      <c r="H98" s="7">
        <f t="shared" ref="H98:H129" si="6">IF(E98="Yes",0,F98-G98)</f>
        <v>0</v>
      </c>
      <c r="I98" s="5" t="str">
        <f t="shared" ref="I98:I129" si="7">IF(E98="Yes","Void",IF(H98&lt;=0,"Paid",IF(G98&gt;0,"Partially Paid","Issued")))</f>
        <v>Paid</v>
      </c>
    </row>
    <row r="99" spans="1:9" x14ac:dyDescent="0.3">
      <c r="A99" s="5" t="s">
        <v>310</v>
      </c>
      <c r="B99" s="5" t="s">
        <v>184</v>
      </c>
      <c r="C99" s="6">
        <v>46235</v>
      </c>
      <c r="D99" s="6">
        <v>46241</v>
      </c>
      <c r="E99" s="5"/>
      <c r="F99" s="7">
        <f>SUMIFS('Invoice Lines'!$G$2:$G$319,'Invoice Lines'!$A$2:$A$319,A99)</f>
        <v>180</v>
      </c>
      <c r="G99" s="7">
        <f>SUMIFS(Receipts!$D$2:$D$149,Receipts!$B$2:$B$149,A99)</f>
        <v>180</v>
      </c>
      <c r="H99" s="7">
        <f t="shared" si="6"/>
        <v>0</v>
      </c>
      <c r="I99" s="5" t="str">
        <f t="shared" si="7"/>
        <v>Paid</v>
      </c>
    </row>
    <row r="100" spans="1:9" x14ac:dyDescent="0.3">
      <c r="A100" s="5" t="s">
        <v>311</v>
      </c>
      <c r="B100" s="5" t="s">
        <v>186</v>
      </c>
      <c r="C100" s="6">
        <v>46235</v>
      </c>
      <c r="D100" s="6">
        <v>46241</v>
      </c>
      <c r="E100" s="5"/>
      <c r="F100" s="7">
        <f>SUMIFS('Invoice Lines'!$G$2:$G$319,'Invoice Lines'!$A$2:$A$319,A100)</f>
        <v>120</v>
      </c>
      <c r="G100" s="7">
        <f>SUMIFS(Receipts!$D$2:$D$149,Receipts!$B$2:$B$149,A100)</f>
        <v>120</v>
      </c>
      <c r="H100" s="7">
        <f t="shared" si="6"/>
        <v>0</v>
      </c>
      <c r="I100" s="5" t="str">
        <f t="shared" si="7"/>
        <v>Paid</v>
      </c>
    </row>
    <row r="101" spans="1:9" x14ac:dyDescent="0.3">
      <c r="A101" s="5" t="s">
        <v>312</v>
      </c>
      <c r="B101" s="5" t="s">
        <v>188</v>
      </c>
      <c r="C101" s="6">
        <v>46235</v>
      </c>
      <c r="D101" s="6">
        <v>46241</v>
      </c>
      <c r="E101" s="5"/>
      <c r="F101" s="7">
        <f>SUMIFS('Invoice Lines'!$G$2:$G$319,'Invoice Lines'!$A$2:$A$319,A101)</f>
        <v>540</v>
      </c>
      <c r="G101" s="7">
        <f>SUMIFS(Receipts!$D$2:$D$149,Receipts!$B$2:$B$149,A101)</f>
        <v>540</v>
      </c>
      <c r="H101" s="7">
        <f t="shared" si="6"/>
        <v>0</v>
      </c>
      <c r="I101" s="5" t="str">
        <f t="shared" si="7"/>
        <v>Paid</v>
      </c>
    </row>
    <row r="102" spans="1:9" x14ac:dyDescent="0.3">
      <c r="A102" s="5" t="s">
        <v>313</v>
      </c>
      <c r="B102" s="5" t="s">
        <v>192</v>
      </c>
      <c r="C102" s="6">
        <v>46235</v>
      </c>
      <c r="D102" s="6">
        <v>46241</v>
      </c>
      <c r="E102" s="5"/>
      <c r="F102" s="7">
        <f>SUMIFS('Invoice Lines'!$G$2:$G$319,'Invoice Lines'!$A$2:$A$319,A102)</f>
        <v>120</v>
      </c>
      <c r="G102" s="7">
        <f>SUMIFS(Receipts!$D$2:$D$149,Receipts!$B$2:$B$149,A102)</f>
        <v>120</v>
      </c>
      <c r="H102" s="7">
        <f t="shared" si="6"/>
        <v>0</v>
      </c>
      <c r="I102" s="5" t="str">
        <f t="shared" si="7"/>
        <v>Paid</v>
      </c>
    </row>
    <row r="103" spans="1:9" x14ac:dyDescent="0.3">
      <c r="A103" s="5" t="s">
        <v>314</v>
      </c>
      <c r="B103" s="5" t="s">
        <v>194</v>
      </c>
      <c r="C103" s="6">
        <v>46235</v>
      </c>
      <c r="D103" s="6">
        <v>46241</v>
      </c>
      <c r="E103" s="5"/>
      <c r="F103" s="7">
        <f>SUMIFS('Invoice Lines'!$G$2:$G$319,'Invoice Lines'!$A$2:$A$319,A103)</f>
        <v>300</v>
      </c>
      <c r="G103" s="7">
        <f>SUMIFS(Receipts!$D$2:$D$149,Receipts!$B$2:$B$149,A103)</f>
        <v>300</v>
      </c>
      <c r="H103" s="7">
        <f t="shared" si="6"/>
        <v>0</v>
      </c>
      <c r="I103" s="5" t="str">
        <f t="shared" si="7"/>
        <v>Paid</v>
      </c>
    </row>
    <row r="104" spans="1:9" x14ac:dyDescent="0.3">
      <c r="A104" s="5" t="s">
        <v>315</v>
      </c>
      <c r="B104" s="5" t="s">
        <v>196</v>
      </c>
      <c r="C104" s="6">
        <v>46235</v>
      </c>
      <c r="D104" s="6">
        <v>46241</v>
      </c>
      <c r="E104" s="5"/>
      <c r="F104" s="7">
        <f>SUMIFS('Invoice Lines'!$G$2:$G$319,'Invoice Lines'!$A$2:$A$319,A104)</f>
        <v>120</v>
      </c>
      <c r="G104" s="7">
        <f>SUMIFS(Receipts!$D$2:$D$149,Receipts!$B$2:$B$149,A104)</f>
        <v>120</v>
      </c>
      <c r="H104" s="7">
        <f t="shared" si="6"/>
        <v>0</v>
      </c>
      <c r="I104" s="5" t="str">
        <f t="shared" si="7"/>
        <v>Paid</v>
      </c>
    </row>
    <row r="105" spans="1:9" x14ac:dyDescent="0.3">
      <c r="A105" s="5" t="s">
        <v>316</v>
      </c>
      <c r="B105" s="5" t="s">
        <v>198</v>
      </c>
      <c r="C105" s="6">
        <v>46235</v>
      </c>
      <c r="D105" s="6">
        <v>46241</v>
      </c>
      <c r="E105" s="5"/>
      <c r="F105" s="7">
        <f>SUMIFS('Invoice Lines'!$G$2:$G$319,'Invoice Lines'!$A$2:$A$319,A105)</f>
        <v>150</v>
      </c>
      <c r="G105" s="7">
        <f>SUMIFS(Receipts!$D$2:$D$149,Receipts!$B$2:$B$149,A105)</f>
        <v>150</v>
      </c>
      <c r="H105" s="7">
        <f t="shared" si="6"/>
        <v>0</v>
      </c>
      <c r="I105" s="5" t="str">
        <f t="shared" si="7"/>
        <v>Paid</v>
      </c>
    </row>
    <row r="106" spans="1:9" x14ac:dyDescent="0.3">
      <c r="A106" s="5" t="s">
        <v>317</v>
      </c>
      <c r="B106" s="5" t="s">
        <v>202</v>
      </c>
      <c r="C106" s="6">
        <v>46235</v>
      </c>
      <c r="D106" s="6">
        <v>46241</v>
      </c>
      <c r="E106" s="5"/>
      <c r="F106" s="7">
        <f>SUMIFS('Invoice Lines'!$G$2:$G$319,'Invoice Lines'!$A$2:$A$319,A106)</f>
        <v>360</v>
      </c>
      <c r="G106" s="7">
        <f>SUMIFS(Receipts!$D$2:$D$149,Receipts!$B$2:$B$149,A106)</f>
        <v>360</v>
      </c>
      <c r="H106" s="7">
        <f t="shared" si="6"/>
        <v>0</v>
      </c>
      <c r="I106" s="5" t="str">
        <f t="shared" si="7"/>
        <v>Paid</v>
      </c>
    </row>
    <row r="107" spans="1:9" x14ac:dyDescent="0.3">
      <c r="A107" s="5" t="s">
        <v>318</v>
      </c>
      <c r="B107" s="5" t="s">
        <v>204</v>
      </c>
      <c r="C107" s="6">
        <v>46235</v>
      </c>
      <c r="D107" s="6">
        <v>46241</v>
      </c>
      <c r="E107" s="5"/>
      <c r="F107" s="7">
        <f>SUMIFS('Invoice Lines'!$G$2:$G$319,'Invoice Lines'!$A$2:$A$319,A107)</f>
        <v>360</v>
      </c>
      <c r="G107" s="7">
        <f>SUMIFS(Receipts!$D$2:$D$149,Receipts!$B$2:$B$149,A107)</f>
        <v>360</v>
      </c>
      <c r="H107" s="7">
        <f t="shared" si="6"/>
        <v>0</v>
      </c>
      <c r="I107" s="5" t="str">
        <f t="shared" si="7"/>
        <v>Paid</v>
      </c>
    </row>
    <row r="108" spans="1:9" x14ac:dyDescent="0.3">
      <c r="A108" s="5" t="s">
        <v>319</v>
      </c>
      <c r="B108" s="5" t="s">
        <v>24</v>
      </c>
      <c r="C108" s="6">
        <v>46266</v>
      </c>
      <c r="D108" s="6">
        <v>46272</v>
      </c>
      <c r="E108" s="5"/>
      <c r="F108" s="7">
        <f>SUMIFS('Invoice Lines'!$G$2:$G$319,'Invoice Lines'!$A$2:$A$319,A108)</f>
        <v>410</v>
      </c>
      <c r="G108" s="7">
        <f>SUMIFS(Receipts!$D$2:$D$149,Receipts!$B$2:$B$149,A108)</f>
        <v>410</v>
      </c>
      <c r="H108" s="7">
        <f t="shared" si="6"/>
        <v>0</v>
      </c>
      <c r="I108" s="5" t="str">
        <f t="shared" si="7"/>
        <v>Paid</v>
      </c>
    </row>
    <row r="109" spans="1:9" x14ac:dyDescent="0.3">
      <c r="A109" s="5" t="s">
        <v>320</v>
      </c>
      <c r="B109" s="5" t="s">
        <v>30</v>
      </c>
      <c r="C109" s="6">
        <v>46266</v>
      </c>
      <c r="D109" s="6">
        <v>46272</v>
      </c>
      <c r="E109" s="5"/>
      <c r="F109" s="7">
        <f>SUMIFS('Invoice Lines'!$G$2:$G$319,'Invoice Lines'!$A$2:$A$319,A109)</f>
        <v>300</v>
      </c>
      <c r="G109" s="7">
        <f>SUMIFS(Receipts!$D$2:$D$149,Receipts!$B$2:$B$149,A109)</f>
        <v>300</v>
      </c>
      <c r="H109" s="7">
        <f t="shared" si="6"/>
        <v>0</v>
      </c>
      <c r="I109" s="5" t="str">
        <f t="shared" si="7"/>
        <v>Paid</v>
      </c>
    </row>
    <row r="110" spans="1:9" x14ac:dyDescent="0.3">
      <c r="A110" s="5" t="s">
        <v>321</v>
      </c>
      <c r="B110" s="5" t="s">
        <v>35</v>
      </c>
      <c r="C110" s="6">
        <v>46266</v>
      </c>
      <c r="D110" s="6">
        <v>46272</v>
      </c>
      <c r="E110" s="5"/>
      <c r="F110" s="7">
        <f>SUMIFS('Invoice Lines'!$G$2:$G$319,'Invoice Lines'!$A$2:$A$319,A110)</f>
        <v>180</v>
      </c>
      <c r="G110" s="7">
        <f>SUMIFS(Receipts!$D$2:$D$149,Receipts!$B$2:$B$149,A110)</f>
        <v>180</v>
      </c>
      <c r="H110" s="7">
        <f t="shared" si="6"/>
        <v>0</v>
      </c>
      <c r="I110" s="5" t="str">
        <f t="shared" si="7"/>
        <v>Paid</v>
      </c>
    </row>
    <row r="111" spans="1:9" x14ac:dyDescent="0.3">
      <c r="A111" s="5" t="s">
        <v>322</v>
      </c>
      <c r="B111" s="5" t="s">
        <v>40</v>
      </c>
      <c r="C111" s="6">
        <v>46266</v>
      </c>
      <c r="D111" s="6">
        <v>46272</v>
      </c>
      <c r="E111" s="5"/>
      <c r="F111" s="7">
        <f>SUMIFS('Invoice Lines'!$G$2:$G$319,'Invoice Lines'!$A$2:$A$319,A111)</f>
        <v>300</v>
      </c>
      <c r="G111" s="7">
        <f>SUMIFS(Receipts!$D$2:$D$149,Receipts!$B$2:$B$149,A111)</f>
        <v>300</v>
      </c>
      <c r="H111" s="7">
        <f t="shared" si="6"/>
        <v>0</v>
      </c>
      <c r="I111" s="5" t="str">
        <f t="shared" si="7"/>
        <v>Paid</v>
      </c>
    </row>
    <row r="112" spans="1:9" x14ac:dyDescent="0.3">
      <c r="A112" s="5" t="s">
        <v>323</v>
      </c>
      <c r="B112" s="5" t="s">
        <v>44</v>
      </c>
      <c r="C112" s="6">
        <v>46266</v>
      </c>
      <c r="D112" s="6">
        <v>46272</v>
      </c>
      <c r="E112" s="5"/>
      <c r="F112" s="7">
        <f>SUMIFS('Invoice Lines'!$G$2:$G$319,'Invoice Lines'!$A$2:$A$319,A112)</f>
        <v>180</v>
      </c>
      <c r="G112" s="7">
        <f>SUMIFS(Receipts!$D$2:$D$149,Receipts!$B$2:$B$149,A112)</f>
        <v>0</v>
      </c>
      <c r="H112" s="7">
        <f t="shared" si="6"/>
        <v>180</v>
      </c>
      <c r="I112" s="5" t="str">
        <f t="shared" si="7"/>
        <v>Issued</v>
      </c>
    </row>
    <row r="113" spans="1:9" x14ac:dyDescent="0.3">
      <c r="A113" s="5" t="s">
        <v>324</v>
      </c>
      <c r="B113" s="5" t="s">
        <v>48</v>
      </c>
      <c r="C113" s="6">
        <v>46266</v>
      </c>
      <c r="D113" s="6">
        <v>46272</v>
      </c>
      <c r="E113" s="5"/>
      <c r="F113" s="7">
        <f>SUMIFS('Invoice Lines'!$G$2:$G$319,'Invoice Lines'!$A$2:$A$319,A113)</f>
        <v>240</v>
      </c>
      <c r="G113" s="7">
        <f>SUMIFS(Receipts!$D$2:$D$149,Receipts!$B$2:$B$149,A113)</f>
        <v>240</v>
      </c>
      <c r="H113" s="7">
        <f t="shared" si="6"/>
        <v>0</v>
      </c>
      <c r="I113" s="5" t="str">
        <f t="shared" si="7"/>
        <v>Paid</v>
      </c>
    </row>
    <row r="114" spans="1:9" x14ac:dyDescent="0.3">
      <c r="A114" s="5" t="s">
        <v>325</v>
      </c>
      <c r="B114" s="5" t="s">
        <v>53</v>
      </c>
      <c r="C114" s="6">
        <v>46266</v>
      </c>
      <c r="D114" s="6">
        <v>46272</v>
      </c>
      <c r="E114" s="5"/>
      <c r="F114" s="7">
        <f>SUMIFS('Invoice Lines'!$G$2:$G$319,'Invoice Lines'!$A$2:$A$319,A114)</f>
        <v>150</v>
      </c>
      <c r="G114" s="7">
        <f>SUMIFS(Receipts!$D$2:$D$149,Receipts!$B$2:$B$149,A114)</f>
        <v>150</v>
      </c>
      <c r="H114" s="7">
        <f t="shared" si="6"/>
        <v>0</v>
      </c>
      <c r="I114" s="5" t="str">
        <f t="shared" si="7"/>
        <v>Paid</v>
      </c>
    </row>
    <row r="115" spans="1:9" x14ac:dyDescent="0.3">
      <c r="A115" s="5" t="s">
        <v>326</v>
      </c>
      <c r="B115" s="5" t="s">
        <v>58</v>
      </c>
      <c r="C115" s="6">
        <v>46266</v>
      </c>
      <c r="D115" s="6">
        <v>46272</v>
      </c>
      <c r="E115" s="5"/>
      <c r="F115" s="7">
        <f>SUMIFS('Invoice Lines'!$G$2:$G$319,'Invoice Lines'!$A$2:$A$319,A115)</f>
        <v>120</v>
      </c>
      <c r="G115" s="7">
        <f>SUMIFS(Receipts!$D$2:$D$149,Receipts!$B$2:$B$149,A115)</f>
        <v>120</v>
      </c>
      <c r="H115" s="7">
        <f t="shared" si="6"/>
        <v>0</v>
      </c>
      <c r="I115" s="5" t="str">
        <f t="shared" si="7"/>
        <v>Paid</v>
      </c>
    </row>
    <row r="116" spans="1:9" x14ac:dyDescent="0.3">
      <c r="A116" s="5" t="s">
        <v>327</v>
      </c>
      <c r="B116" s="5" t="s">
        <v>62</v>
      </c>
      <c r="C116" s="6">
        <v>46266</v>
      </c>
      <c r="D116" s="6">
        <v>46272</v>
      </c>
      <c r="E116" s="5"/>
      <c r="F116" s="7">
        <f>SUMIFS('Invoice Lines'!$G$2:$G$319,'Invoice Lines'!$A$2:$A$319,A116)</f>
        <v>240</v>
      </c>
      <c r="G116" s="7">
        <f>SUMIFS(Receipts!$D$2:$D$149,Receipts!$B$2:$B$149,A116)</f>
        <v>240</v>
      </c>
      <c r="H116" s="7">
        <f t="shared" si="6"/>
        <v>0</v>
      </c>
      <c r="I116" s="5" t="str">
        <f t="shared" si="7"/>
        <v>Paid</v>
      </c>
    </row>
    <row r="117" spans="1:9" x14ac:dyDescent="0.3">
      <c r="A117" s="5" t="s">
        <v>328</v>
      </c>
      <c r="B117" s="5" t="s">
        <v>65</v>
      </c>
      <c r="C117" s="6">
        <v>46266</v>
      </c>
      <c r="D117" s="6">
        <v>46272</v>
      </c>
      <c r="E117" s="5" t="s">
        <v>329</v>
      </c>
      <c r="F117" s="7">
        <f>SUMIFS('Invoice Lines'!$G$2:$G$319,'Invoice Lines'!$A$2:$A$319,A117)</f>
        <v>360</v>
      </c>
      <c r="G117" s="7">
        <f>SUMIFS(Receipts!$D$2:$D$149,Receipts!$B$2:$B$149,A117)</f>
        <v>0</v>
      </c>
      <c r="H117" s="7">
        <f t="shared" si="6"/>
        <v>0</v>
      </c>
      <c r="I117" s="5" t="str">
        <f t="shared" si="7"/>
        <v>Void</v>
      </c>
    </row>
    <row r="118" spans="1:9" x14ac:dyDescent="0.3">
      <c r="A118" s="5" t="s">
        <v>330</v>
      </c>
      <c r="B118" s="5" t="s">
        <v>70</v>
      </c>
      <c r="C118" s="6">
        <v>46266</v>
      </c>
      <c r="D118" s="6">
        <v>46272</v>
      </c>
      <c r="E118" s="5"/>
      <c r="F118" s="7">
        <f>SUMIFS('Invoice Lines'!$G$2:$G$319,'Invoice Lines'!$A$2:$A$319,A118)</f>
        <v>150</v>
      </c>
      <c r="G118" s="7">
        <f>SUMIFS(Receipts!$D$2:$D$149,Receipts!$B$2:$B$149,A118)</f>
        <v>150</v>
      </c>
      <c r="H118" s="7">
        <f t="shared" si="6"/>
        <v>0</v>
      </c>
      <c r="I118" s="5" t="str">
        <f t="shared" si="7"/>
        <v>Paid</v>
      </c>
    </row>
    <row r="119" spans="1:9" x14ac:dyDescent="0.3">
      <c r="A119" s="5" t="s">
        <v>331</v>
      </c>
      <c r="B119" s="5" t="s">
        <v>74</v>
      </c>
      <c r="C119" s="6">
        <v>46266</v>
      </c>
      <c r="D119" s="6">
        <v>46272</v>
      </c>
      <c r="E119" s="5"/>
      <c r="F119" s="7">
        <f>SUMIFS('Invoice Lines'!$G$2:$G$319,'Invoice Lines'!$A$2:$A$319,A119)</f>
        <v>540</v>
      </c>
      <c r="G119" s="7">
        <f>SUMIFS(Receipts!$D$2:$D$149,Receipts!$B$2:$B$149,A119)</f>
        <v>0</v>
      </c>
      <c r="H119" s="7">
        <f t="shared" si="6"/>
        <v>540</v>
      </c>
      <c r="I119" s="5" t="str">
        <f t="shared" si="7"/>
        <v>Issued</v>
      </c>
    </row>
    <row r="120" spans="1:9" x14ac:dyDescent="0.3">
      <c r="A120" s="5" t="s">
        <v>332</v>
      </c>
      <c r="B120" s="5" t="s">
        <v>78</v>
      </c>
      <c r="C120" s="6">
        <v>46266</v>
      </c>
      <c r="D120" s="6">
        <v>46272</v>
      </c>
      <c r="E120" s="5"/>
      <c r="F120" s="7">
        <f>SUMIFS('Invoice Lines'!$G$2:$G$319,'Invoice Lines'!$A$2:$A$319,A120)</f>
        <v>290</v>
      </c>
      <c r="G120" s="7">
        <f>SUMIFS(Receipts!$D$2:$D$149,Receipts!$B$2:$B$149,A120)</f>
        <v>290</v>
      </c>
      <c r="H120" s="7">
        <f t="shared" si="6"/>
        <v>0</v>
      </c>
      <c r="I120" s="5" t="str">
        <f t="shared" si="7"/>
        <v>Paid</v>
      </c>
    </row>
    <row r="121" spans="1:9" x14ac:dyDescent="0.3">
      <c r="A121" s="5" t="s">
        <v>333</v>
      </c>
      <c r="B121" s="5" t="s">
        <v>81</v>
      </c>
      <c r="C121" s="6">
        <v>46266</v>
      </c>
      <c r="D121" s="6">
        <v>46272</v>
      </c>
      <c r="E121" s="5"/>
      <c r="F121" s="7">
        <f>SUMIFS('Invoice Lines'!$G$2:$G$319,'Invoice Lines'!$A$2:$A$319,A121)</f>
        <v>360</v>
      </c>
      <c r="G121" s="7">
        <f>SUMIFS(Receipts!$D$2:$D$149,Receipts!$B$2:$B$149,A121)</f>
        <v>360</v>
      </c>
      <c r="H121" s="7">
        <f t="shared" si="6"/>
        <v>0</v>
      </c>
      <c r="I121" s="5" t="str">
        <f t="shared" si="7"/>
        <v>Paid</v>
      </c>
    </row>
    <row r="122" spans="1:9" x14ac:dyDescent="0.3">
      <c r="A122" s="5" t="s">
        <v>334</v>
      </c>
      <c r="B122" s="5" t="s">
        <v>83</v>
      </c>
      <c r="C122" s="6">
        <v>46266</v>
      </c>
      <c r="D122" s="6">
        <v>46272</v>
      </c>
      <c r="E122" s="5"/>
      <c r="F122" s="7">
        <f>SUMIFS('Invoice Lines'!$G$2:$G$319,'Invoice Lines'!$A$2:$A$319,A122)</f>
        <v>300</v>
      </c>
      <c r="G122" s="7">
        <f>SUMIFS(Receipts!$D$2:$D$149,Receipts!$B$2:$B$149,A122)</f>
        <v>0</v>
      </c>
      <c r="H122" s="7">
        <f t="shared" si="6"/>
        <v>300</v>
      </c>
      <c r="I122" s="5" t="str">
        <f t="shared" si="7"/>
        <v>Issued</v>
      </c>
    </row>
    <row r="123" spans="1:9" x14ac:dyDescent="0.3">
      <c r="A123" s="5" t="s">
        <v>335</v>
      </c>
      <c r="B123" s="5" t="s">
        <v>88</v>
      </c>
      <c r="C123" s="6">
        <v>46266</v>
      </c>
      <c r="D123" s="6">
        <v>46272</v>
      </c>
      <c r="E123" s="5"/>
      <c r="F123" s="7">
        <f>SUMIFS('Invoice Lines'!$G$2:$G$319,'Invoice Lines'!$A$2:$A$319,A123)</f>
        <v>300</v>
      </c>
      <c r="G123" s="7">
        <f>SUMIFS(Receipts!$D$2:$D$149,Receipts!$B$2:$B$149,A123)</f>
        <v>300</v>
      </c>
      <c r="H123" s="7">
        <f t="shared" si="6"/>
        <v>0</v>
      </c>
      <c r="I123" s="5" t="str">
        <f t="shared" si="7"/>
        <v>Paid</v>
      </c>
    </row>
    <row r="124" spans="1:9" x14ac:dyDescent="0.3">
      <c r="A124" s="5" t="s">
        <v>336</v>
      </c>
      <c r="B124" s="5" t="s">
        <v>91</v>
      </c>
      <c r="C124" s="6">
        <v>46266</v>
      </c>
      <c r="D124" s="6">
        <v>46272</v>
      </c>
      <c r="E124" s="5"/>
      <c r="F124" s="7">
        <f>SUMIFS('Invoice Lines'!$G$2:$G$319,'Invoice Lines'!$A$2:$A$319,A124)</f>
        <v>360</v>
      </c>
      <c r="G124" s="7">
        <f>SUMIFS(Receipts!$D$2:$D$149,Receipts!$B$2:$B$149,A124)</f>
        <v>360</v>
      </c>
      <c r="H124" s="7">
        <f t="shared" si="6"/>
        <v>0</v>
      </c>
      <c r="I124" s="5" t="str">
        <f t="shared" si="7"/>
        <v>Paid</v>
      </c>
    </row>
    <row r="125" spans="1:9" x14ac:dyDescent="0.3">
      <c r="A125" s="5" t="s">
        <v>337</v>
      </c>
      <c r="B125" s="5" t="s">
        <v>96</v>
      </c>
      <c r="C125" s="6">
        <v>46266</v>
      </c>
      <c r="D125" s="6">
        <v>46272</v>
      </c>
      <c r="E125" s="5"/>
      <c r="F125" s="7">
        <f>SUMIFS('Invoice Lines'!$G$2:$G$319,'Invoice Lines'!$A$2:$A$319,A125)</f>
        <v>240</v>
      </c>
      <c r="G125" s="7">
        <f>SUMIFS(Receipts!$D$2:$D$149,Receipts!$B$2:$B$149,A125)</f>
        <v>240</v>
      </c>
      <c r="H125" s="7">
        <f t="shared" si="6"/>
        <v>0</v>
      </c>
      <c r="I125" s="5" t="str">
        <f t="shared" si="7"/>
        <v>Paid</v>
      </c>
    </row>
    <row r="126" spans="1:9" x14ac:dyDescent="0.3">
      <c r="A126" s="5" t="s">
        <v>338</v>
      </c>
      <c r="B126" s="5" t="s">
        <v>98</v>
      </c>
      <c r="C126" s="6">
        <v>46266</v>
      </c>
      <c r="D126" s="6">
        <v>46272</v>
      </c>
      <c r="E126" s="5"/>
      <c r="F126" s="7">
        <f>SUMIFS('Invoice Lines'!$G$2:$G$319,'Invoice Lines'!$A$2:$A$319,A126)</f>
        <v>360</v>
      </c>
      <c r="G126" s="7">
        <f>SUMIFS(Receipts!$D$2:$D$149,Receipts!$B$2:$B$149,A126)</f>
        <v>360</v>
      </c>
      <c r="H126" s="7">
        <f t="shared" si="6"/>
        <v>0</v>
      </c>
      <c r="I126" s="5" t="str">
        <f t="shared" si="7"/>
        <v>Paid</v>
      </c>
    </row>
    <row r="127" spans="1:9" x14ac:dyDescent="0.3">
      <c r="A127" s="5" t="s">
        <v>339</v>
      </c>
      <c r="B127" s="5" t="s">
        <v>102</v>
      </c>
      <c r="C127" s="6">
        <v>46266</v>
      </c>
      <c r="D127" s="6">
        <v>46272</v>
      </c>
      <c r="E127" s="5" t="s">
        <v>329</v>
      </c>
      <c r="F127" s="7">
        <f>SUMIFS('Invoice Lines'!$G$2:$G$319,'Invoice Lines'!$A$2:$A$319,A127)</f>
        <v>180</v>
      </c>
      <c r="G127" s="7">
        <f>SUMIFS(Receipts!$D$2:$D$149,Receipts!$B$2:$B$149,A127)</f>
        <v>0</v>
      </c>
      <c r="H127" s="7">
        <f t="shared" si="6"/>
        <v>0</v>
      </c>
      <c r="I127" s="5" t="str">
        <f t="shared" si="7"/>
        <v>Void</v>
      </c>
    </row>
    <row r="128" spans="1:9" x14ac:dyDescent="0.3">
      <c r="A128" s="5" t="s">
        <v>340</v>
      </c>
      <c r="B128" s="5" t="s">
        <v>107</v>
      </c>
      <c r="C128" s="6">
        <v>46266</v>
      </c>
      <c r="D128" s="6">
        <v>46272</v>
      </c>
      <c r="E128" s="5" t="s">
        <v>329</v>
      </c>
      <c r="F128" s="7">
        <f>SUMIFS('Invoice Lines'!$G$2:$G$319,'Invoice Lines'!$A$2:$A$319,A128)</f>
        <v>540</v>
      </c>
      <c r="G128" s="7">
        <f>SUMIFS(Receipts!$D$2:$D$149,Receipts!$B$2:$B$149,A128)</f>
        <v>0</v>
      </c>
      <c r="H128" s="7">
        <f t="shared" si="6"/>
        <v>0</v>
      </c>
      <c r="I128" s="5" t="str">
        <f t="shared" si="7"/>
        <v>Void</v>
      </c>
    </row>
    <row r="129" spans="1:9" x14ac:dyDescent="0.3">
      <c r="A129" s="5" t="s">
        <v>341</v>
      </c>
      <c r="B129" s="5" t="s">
        <v>111</v>
      </c>
      <c r="C129" s="6">
        <v>46266</v>
      </c>
      <c r="D129" s="6">
        <v>46272</v>
      </c>
      <c r="E129" s="5"/>
      <c r="F129" s="7">
        <f>SUMIFS('Invoice Lines'!$G$2:$G$319,'Invoice Lines'!$A$2:$A$319,A129)</f>
        <v>360</v>
      </c>
      <c r="G129" s="7">
        <f>SUMIFS(Receipts!$D$2:$D$149,Receipts!$B$2:$B$149,A129)</f>
        <v>360</v>
      </c>
      <c r="H129" s="7">
        <f t="shared" si="6"/>
        <v>0</v>
      </c>
      <c r="I129" s="5" t="str">
        <f t="shared" si="7"/>
        <v>Paid</v>
      </c>
    </row>
    <row r="130" spans="1:9" x14ac:dyDescent="0.3">
      <c r="A130" s="5" t="s">
        <v>342</v>
      </c>
      <c r="B130" s="5" t="s">
        <v>115</v>
      </c>
      <c r="C130" s="6">
        <v>46266</v>
      </c>
      <c r="D130" s="6">
        <v>46272</v>
      </c>
      <c r="E130" s="5" t="s">
        <v>329</v>
      </c>
      <c r="F130" s="7">
        <f>SUMIFS('Invoice Lines'!$G$2:$G$319,'Invoice Lines'!$A$2:$A$319,A130)</f>
        <v>240</v>
      </c>
      <c r="G130" s="7">
        <f>SUMIFS(Receipts!$D$2:$D$149,Receipts!$B$2:$B$149,A130)</f>
        <v>0</v>
      </c>
      <c r="H130" s="7">
        <f t="shared" ref="H130:H161" si="8">IF(E130="Yes",0,F130-G130)</f>
        <v>0</v>
      </c>
      <c r="I130" s="5" t="str">
        <f t="shared" ref="I130:I161" si="9">IF(E130="Yes","Void",IF(H130&lt;=0,"Paid",IF(G130&gt;0,"Partially Paid","Issued")))</f>
        <v>Void</v>
      </c>
    </row>
    <row r="131" spans="1:9" x14ac:dyDescent="0.3">
      <c r="A131" s="5" t="s">
        <v>343</v>
      </c>
      <c r="B131" s="5" t="s">
        <v>117</v>
      </c>
      <c r="C131" s="6">
        <v>46266</v>
      </c>
      <c r="D131" s="6">
        <v>46272</v>
      </c>
      <c r="E131" s="5"/>
      <c r="F131" s="7">
        <f>SUMIFS('Invoice Lines'!$G$2:$G$319,'Invoice Lines'!$A$2:$A$319,A131)</f>
        <v>150</v>
      </c>
      <c r="G131" s="7">
        <f>SUMIFS(Receipts!$D$2:$D$149,Receipts!$B$2:$B$149,A131)</f>
        <v>150</v>
      </c>
      <c r="H131" s="7">
        <f t="shared" si="8"/>
        <v>0</v>
      </c>
      <c r="I131" s="5" t="str">
        <f t="shared" si="9"/>
        <v>Paid</v>
      </c>
    </row>
    <row r="132" spans="1:9" x14ac:dyDescent="0.3">
      <c r="A132" s="5" t="s">
        <v>344</v>
      </c>
      <c r="B132" s="5" t="s">
        <v>120</v>
      </c>
      <c r="C132" s="6">
        <v>46266</v>
      </c>
      <c r="D132" s="6">
        <v>46272</v>
      </c>
      <c r="E132" s="5" t="s">
        <v>329</v>
      </c>
      <c r="F132" s="7">
        <f>SUMIFS('Invoice Lines'!$G$2:$G$319,'Invoice Lines'!$A$2:$A$319,A132)</f>
        <v>120</v>
      </c>
      <c r="G132" s="7">
        <f>SUMIFS(Receipts!$D$2:$D$149,Receipts!$B$2:$B$149,A132)</f>
        <v>0</v>
      </c>
      <c r="H132" s="7">
        <f t="shared" si="8"/>
        <v>0</v>
      </c>
      <c r="I132" s="5" t="str">
        <f t="shared" si="9"/>
        <v>Void</v>
      </c>
    </row>
    <row r="133" spans="1:9" x14ac:dyDescent="0.3">
      <c r="A133" s="5" t="s">
        <v>345</v>
      </c>
      <c r="B133" s="5" t="s">
        <v>124</v>
      </c>
      <c r="C133" s="6">
        <v>46266</v>
      </c>
      <c r="D133" s="6">
        <v>46272</v>
      </c>
      <c r="E133" s="5"/>
      <c r="F133" s="7">
        <f>SUMIFS('Invoice Lines'!$G$2:$G$319,'Invoice Lines'!$A$2:$A$319,A133)</f>
        <v>180</v>
      </c>
      <c r="G133" s="7">
        <f>SUMIFS(Receipts!$D$2:$D$149,Receipts!$B$2:$B$149,A133)</f>
        <v>90</v>
      </c>
      <c r="H133" s="7">
        <f t="shared" si="8"/>
        <v>90</v>
      </c>
      <c r="I133" s="5" t="str">
        <f t="shared" si="9"/>
        <v>Partially Paid</v>
      </c>
    </row>
    <row r="134" spans="1:9" x14ac:dyDescent="0.3">
      <c r="A134" s="5" t="s">
        <v>346</v>
      </c>
      <c r="B134" s="5" t="s">
        <v>128</v>
      </c>
      <c r="C134" s="6">
        <v>46266</v>
      </c>
      <c r="D134" s="6">
        <v>46272</v>
      </c>
      <c r="E134" s="5"/>
      <c r="F134" s="7">
        <f>SUMIFS('Invoice Lines'!$G$2:$G$319,'Invoice Lines'!$A$2:$A$319,A134)</f>
        <v>360</v>
      </c>
      <c r="G134" s="7">
        <f>SUMIFS(Receipts!$D$2:$D$149,Receipts!$B$2:$B$149,A134)</f>
        <v>360</v>
      </c>
      <c r="H134" s="7">
        <f t="shared" si="8"/>
        <v>0</v>
      </c>
      <c r="I134" s="5" t="str">
        <f t="shared" si="9"/>
        <v>Paid</v>
      </c>
    </row>
    <row r="135" spans="1:9" x14ac:dyDescent="0.3">
      <c r="A135" s="5" t="s">
        <v>347</v>
      </c>
      <c r="B135" s="5" t="s">
        <v>130</v>
      </c>
      <c r="C135" s="6">
        <v>46266</v>
      </c>
      <c r="D135" s="6">
        <v>46272</v>
      </c>
      <c r="E135" s="5"/>
      <c r="F135" s="7">
        <f>SUMIFS('Invoice Lines'!$G$2:$G$319,'Invoice Lines'!$A$2:$A$319,A135)</f>
        <v>540</v>
      </c>
      <c r="G135" s="7">
        <f>SUMIFS(Receipts!$D$2:$D$149,Receipts!$B$2:$B$149,A135)</f>
        <v>540</v>
      </c>
      <c r="H135" s="7">
        <f t="shared" si="8"/>
        <v>0</v>
      </c>
      <c r="I135" s="5" t="str">
        <f t="shared" si="9"/>
        <v>Paid</v>
      </c>
    </row>
    <row r="136" spans="1:9" x14ac:dyDescent="0.3">
      <c r="A136" s="5" t="s">
        <v>348</v>
      </c>
      <c r="B136" s="5" t="s">
        <v>134</v>
      </c>
      <c r="C136" s="6">
        <v>46266</v>
      </c>
      <c r="D136" s="6">
        <v>46272</v>
      </c>
      <c r="E136" s="5"/>
      <c r="F136" s="7">
        <f>SUMIFS('Invoice Lines'!$G$2:$G$319,'Invoice Lines'!$A$2:$A$319,A136)</f>
        <v>540</v>
      </c>
      <c r="G136" s="7">
        <f>SUMIFS(Receipts!$D$2:$D$149,Receipts!$B$2:$B$149,A136)</f>
        <v>540</v>
      </c>
      <c r="H136" s="7">
        <f t="shared" si="8"/>
        <v>0</v>
      </c>
      <c r="I136" s="5" t="str">
        <f t="shared" si="9"/>
        <v>Paid</v>
      </c>
    </row>
    <row r="137" spans="1:9" x14ac:dyDescent="0.3">
      <c r="A137" s="5" t="s">
        <v>349</v>
      </c>
      <c r="B137" s="5" t="s">
        <v>138</v>
      </c>
      <c r="C137" s="6">
        <v>46266</v>
      </c>
      <c r="D137" s="6">
        <v>46272</v>
      </c>
      <c r="E137" s="5" t="s">
        <v>329</v>
      </c>
      <c r="F137" s="7">
        <f>SUMIFS('Invoice Lines'!$G$2:$G$319,'Invoice Lines'!$A$2:$A$319,A137)</f>
        <v>240</v>
      </c>
      <c r="G137" s="7">
        <f>SUMIFS(Receipts!$D$2:$D$149,Receipts!$B$2:$B$149,A137)</f>
        <v>0</v>
      </c>
      <c r="H137" s="7">
        <f t="shared" si="8"/>
        <v>0</v>
      </c>
      <c r="I137" s="5" t="str">
        <f t="shared" si="9"/>
        <v>Void</v>
      </c>
    </row>
    <row r="138" spans="1:9" x14ac:dyDescent="0.3">
      <c r="A138" s="5" t="s">
        <v>350</v>
      </c>
      <c r="B138" s="5" t="s">
        <v>141</v>
      </c>
      <c r="C138" s="6">
        <v>46266</v>
      </c>
      <c r="D138" s="6">
        <v>46272</v>
      </c>
      <c r="E138" s="5"/>
      <c r="F138" s="7">
        <f>SUMIFS('Invoice Lines'!$G$2:$G$319,'Invoice Lines'!$A$2:$A$319,A138)</f>
        <v>120</v>
      </c>
      <c r="G138" s="7">
        <f>SUMIFS(Receipts!$D$2:$D$149,Receipts!$B$2:$B$149,A138)</f>
        <v>120</v>
      </c>
      <c r="H138" s="7">
        <f t="shared" si="8"/>
        <v>0</v>
      </c>
      <c r="I138" s="5" t="str">
        <f t="shared" si="9"/>
        <v>Paid</v>
      </c>
    </row>
    <row r="139" spans="1:9" x14ac:dyDescent="0.3">
      <c r="A139" s="5" t="s">
        <v>351</v>
      </c>
      <c r="B139" s="5" t="s">
        <v>143</v>
      </c>
      <c r="C139" s="6">
        <v>46266</v>
      </c>
      <c r="D139" s="6">
        <v>46272</v>
      </c>
      <c r="E139" s="5"/>
      <c r="F139" s="7">
        <f>SUMIFS('Invoice Lines'!$G$2:$G$319,'Invoice Lines'!$A$2:$A$319,A139)</f>
        <v>120</v>
      </c>
      <c r="G139" s="7">
        <f>SUMIFS(Receipts!$D$2:$D$149,Receipts!$B$2:$B$149,A139)</f>
        <v>120</v>
      </c>
      <c r="H139" s="7">
        <f t="shared" si="8"/>
        <v>0</v>
      </c>
      <c r="I139" s="5" t="str">
        <f t="shared" si="9"/>
        <v>Paid</v>
      </c>
    </row>
    <row r="140" spans="1:9" x14ac:dyDescent="0.3">
      <c r="A140" s="5" t="s">
        <v>352</v>
      </c>
      <c r="B140" s="5" t="s">
        <v>147</v>
      </c>
      <c r="C140" s="6">
        <v>46266</v>
      </c>
      <c r="D140" s="6">
        <v>46272</v>
      </c>
      <c r="E140" s="5"/>
      <c r="F140" s="7">
        <f>SUMIFS('Invoice Lines'!$G$2:$G$319,'Invoice Lines'!$A$2:$A$319,A140)</f>
        <v>360</v>
      </c>
      <c r="G140" s="7">
        <f>SUMIFS(Receipts!$D$2:$D$149,Receipts!$B$2:$B$149,A140)</f>
        <v>360</v>
      </c>
      <c r="H140" s="7">
        <f t="shared" si="8"/>
        <v>0</v>
      </c>
      <c r="I140" s="5" t="str">
        <f t="shared" si="9"/>
        <v>Paid</v>
      </c>
    </row>
    <row r="141" spans="1:9" x14ac:dyDescent="0.3">
      <c r="A141" s="5" t="s">
        <v>353</v>
      </c>
      <c r="B141" s="5" t="s">
        <v>149</v>
      </c>
      <c r="C141" s="6">
        <v>46266</v>
      </c>
      <c r="D141" s="6">
        <v>46272</v>
      </c>
      <c r="E141" s="5"/>
      <c r="F141" s="7">
        <f>SUMIFS('Invoice Lines'!$G$2:$G$319,'Invoice Lines'!$A$2:$A$319,A141)</f>
        <v>360</v>
      </c>
      <c r="G141" s="7">
        <f>SUMIFS(Receipts!$D$2:$D$149,Receipts!$B$2:$B$149,A141)</f>
        <v>360</v>
      </c>
      <c r="H141" s="7">
        <f t="shared" si="8"/>
        <v>0</v>
      </c>
      <c r="I141" s="5" t="str">
        <f t="shared" si="9"/>
        <v>Paid</v>
      </c>
    </row>
    <row r="142" spans="1:9" x14ac:dyDescent="0.3">
      <c r="A142" s="5" t="s">
        <v>354</v>
      </c>
      <c r="B142" s="5" t="s">
        <v>151</v>
      </c>
      <c r="C142" s="6">
        <v>46266</v>
      </c>
      <c r="D142" s="6">
        <v>46272</v>
      </c>
      <c r="E142" s="5"/>
      <c r="F142" s="7">
        <f>SUMIFS('Invoice Lines'!$G$2:$G$319,'Invoice Lines'!$A$2:$A$319,A142)</f>
        <v>360</v>
      </c>
      <c r="G142" s="7">
        <f>SUMIFS(Receipts!$D$2:$D$149,Receipts!$B$2:$B$149,A142)</f>
        <v>0</v>
      </c>
      <c r="H142" s="7">
        <f t="shared" si="8"/>
        <v>360</v>
      </c>
      <c r="I142" s="5" t="str">
        <f t="shared" si="9"/>
        <v>Issued</v>
      </c>
    </row>
    <row r="143" spans="1:9" x14ac:dyDescent="0.3">
      <c r="A143" s="5" t="s">
        <v>355</v>
      </c>
      <c r="B143" s="5" t="s">
        <v>155</v>
      </c>
      <c r="C143" s="6">
        <v>46266</v>
      </c>
      <c r="D143" s="6">
        <v>46272</v>
      </c>
      <c r="E143" s="5" t="s">
        <v>329</v>
      </c>
      <c r="F143" s="7">
        <f>SUMIFS('Invoice Lines'!$G$2:$G$319,'Invoice Lines'!$A$2:$A$319,A143)</f>
        <v>450</v>
      </c>
      <c r="G143" s="7">
        <f>SUMIFS(Receipts!$D$2:$D$149,Receipts!$B$2:$B$149,A143)</f>
        <v>0</v>
      </c>
      <c r="H143" s="7">
        <f t="shared" si="8"/>
        <v>0</v>
      </c>
      <c r="I143" s="5" t="str">
        <f t="shared" si="9"/>
        <v>Void</v>
      </c>
    </row>
    <row r="144" spans="1:9" x14ac:dyDescent="0.3">
      <c r="A144" s="5" t="s">
        <v>356</v>
      </c>
      <c r="B144" s="5" t="s">
        <v>157</v>
      </c>
      <c r="C144" s="6">
        <v>46266</v>
      </c>
      <c r="D144" s="6">
        <v>46272</v>
      </c>
      <c r="E144" s="5"/>
      <c r="F144" s="7">
        <f>SUMIFS('Invoice Lines'!$G$2:$G$319,'Invoice Lines'!$A$2:$A$319,A144)</f>
        <v>360</v>
      </c>
      <c r="G144" s="7">
        <f>SUMIFS(Receipts!$D$2:$D$149,Receipts!$B$2:$B$149,A144)</f>
        <v>180</v>
      </c>
      <c r="H144" s="7">
        <f t="shared" si="8"/>
        <v>180</v>
      </c>
      <c r="I144" s="5" t="str">
        <f t="shared" si="9"/>
        <v>Partially Paid</v>
      </c>
    </row>
    <row r="145" spans="1:9" x14ac:dyDescent="0.3">
      <c r="A145" s="5" t="s">
        <v>357</v>
      </c>
      <c r="B145" s="5" t="s">
        <v>159</v>
      </c>
      <c r="C145" s="6">
        <v>46266</v>
      </c>
      <c r="D145" s="6">
        <v>46272</v>
      </c>
      <c r="E145" s="5"/>
      <c r="F145" s="7">
        <f>SUMIFS('Invoice Lines'!$G$2:$G$319,'Invoice Lines'!$A$2:$A$319,A145)</f>
        <v>240</v>
      </c>
      <c r="G145" s="7">
        <f>SUMIFS(Receipts!$D$2:$D$149,Receipts!$B$2:$B$149,A145)</f>
        <v>240</v>
      </c>
      <c r="H145" s="7">
        <f t="shared" si="8"/>
        <v>0</v>
      </c>
      <c r="I145" s="5" t="str">
        <f t="shared" si="9"/>
        <v>Paid</v>
      </c>
    </row>
    <row r="146" spans="1:9" x14ac:dyDescent="0.3">
      <c r="A146" s="5" t="s">
        <v>358</v>
      </c>
      <c r="B146" s="5" t="s">
        <v>161</v>
      </c>
      <c r="C146" s="6">
        <v>46266</v>
      </c>
      <c r="D146" s="6">
        <v>46272</v>
      </c>
      <c r="E146" s="5"/>
      <c r="F146" s="7">
        <f>SUMIFS('Invoice Lines'!$G$2:$G$319,'Invoice Lines'!$A$2:$A$319,A146)</f>
        <v>150</v>
      </c>
      <c r="G146" s="7">
        <f>SUMIFS(Receipts!$D$2:$D$149,Receipts!$B$2:$B$149,A146)</f>
        <v>150</v>
      </c>
      <c r="H146" s="7">
        <f t="shared" si="8"/>
        <v>0</v>
      </c>
      <c r="I146" s="5" t="str">
        <f t="shared" si="9"/>
        <v>Paid</v>
      </c>
    </row>
    <row r="147" spans="1:9" x14ac:dyDescent="0.3">
      <c r="A147" s="5" t="s">
        <v>359</v>
      </c>
      <c r="B147" s="5" t="s">
        <v>165</v>
      </c>
      <c r="C147" s="6">
        <v>46266</v>
      </c>
      <c r="D147" s="6">
        <v>46272</v>
      </c>
      <c r="E147" s="5"/>
      <c r="F147" s="7">
        <f>SUMIFS('Invoice Lines'!$G$2:$G$319,'Invoice Lines'!$A$2:$A$319,A147)</f>
        <v>360</v>
      </c>
      <c r="G147" s="7">
        <f>SUMIFS(Receipts!$D$2:$D$149,Receipts!$B$2:$B$149,A147)</f>
        <v>360</v>
      </c>
      <c r="H147" s="7">
        <f t="shared" si="8"/>
        <v>0</v>
      </c>
      <c r="I147" s="5" t="str">
        <f t="shared" si="9"/>
        <v>Paid</v>
      </c>
    </row>
    <row r="148" spans="1:9" x14ac:dyDescent="0.3">
      <c r="A148" s="5" t="s">
        <v>360</v>
      </c>
      <c r="B148" s="5" t="s">
        <v>167</v>
      </c>
      <c r="C148" s="6">
        <v>46266</v>
      </c>
      <c r="D148" s="6">
        <v>46272</v>
      </c>
      <c r="E148" s="5"/>
      <c r="F148" s="7">
        <f>SUMIFS('Invoice Lines'!$G$2:$G$319,'Invoice Lines'!$A$2:$A$319,A148)</f>
        <v>300</v>
      </c>
      <c r="G148" s="7">
        <f>SUMIFS(Receipts!$D$2:$D$149,Receipts!$B$2:$B$149,A148)</f>
        <v>300</v>
      </c>
      <c r="H148" s="7">
        <f t="shared" si="8"/>
        <v>0</v>
      </c>
      <c r="I148" s="5" t="str">
        <f t="shared" si="9"/>
        <v>Paid</v>
      </c>
    </row>
    <row r="149" spans="1:9" x14ac:dyDescent="0.3">
      <c r="A149" s="5" t="s">
        <v>361</v>
      </c>
      <c r="B149" s="5" t="s">
        <v>169</v>
      </c>
      <c r="C149" s="6">
        <v>46266</v>
      </c>
      <c r="D149" s="6">
        <v>46272</v>
      </c>
      <c r="E149" s="5"/>
      <c r="F149" s="7">
        <f>SUMIFS('Invoice Lines'!$G$2:$G$319,'Invoice Lines'!$A$2:$A$319,A149)</f>
        <v>240</v>
      </c>
      <c r="G149" s="7">
        <f>SUMIFS(Receipts!$D$2:$D$149,Receipts!$B$2:$B$149,A149)</f>
        <v>240</v>
      </c>
      <c r="H149" s="7">
        <f t="shared" si="8"/>
        <v>0</v>
      </c>
      <c r="I149" s="5" t="str">
        <f t="shared" si="9"/>
        <v>Paid</v>
      </c>
    </row>
    <row r="150" spans="1:9" x14ac:dyDescent="0.3">
      <c r="A150" s="5" t="s">
        <v>362</v>
      </c>
      <c r="B150" s="5" t="s">
        <v>171</v>
      </c>
      <c r="C150" s="6">
        <v>46266</v>
      </c>
      <c r="D150" s="6">
        <v>46272</v>
      </c>
      <c r="E150" s="5"/>
      <c r="F150" s="7">
        <f>SUMIFS('Invoice Lines'!$G$2:$G$319,'Invoice Lines'!$A$2:$A$319,A150)</f>
        <v>540</v>
      </c>
      <c r="G150" s="7">
        <f>SUMIFS(Receipts!$D$2:$D$149,Receipts!$B$2:$B$149,A150)</f>
        <v>540</v>
      </c>
      <c r="H150" s="7">
        <f t="shared" si="8"/>
        <v>0</v>
      </c>
      <c r="I150" s="5" t="str">
        <f t="shared" si="9"/>
        <v>Paid</v>
      </c>
    </row>
    <row r="151" spans="1:9" x14ac:dyDescent="0.3">
      <c r="A151" s="5" t="s">
        <v>363</v>
      </c>
      <c r="B151" s="5" t="s">
        <v>175</v>
      </c>
      <c r="C151" s="6">
        <v>46266</v>
      </c>
      <c r="D151" s="6">
        <v>46272</v>
      </c>
      <c r="E151" s="5"/>
      <c r="F151" s="7">
        <f>SUMIFS('Invoice Lines'!$G$2:$G$319,'Invoice Lines'!$A$2:$A$319,A151)</f>
        <v>150</v>
      </c>
      <c r="G151" s="7">
        <f>SUMIFS(Receipts!$D$2:$D$149,Receipts!$B$2:$B$149,A151)</f>
        <v>150</v>
      </c>
      <c r="H151" s="7">
        <f t="shared" si="8"/>
        <v>0</v>
      </c>
      <c r="I151" s="5" t="str">
        <f t="shared" si="9"/>
        <v>Paid</v>
      </c>
    </row>
    <row r="152" spans="1:9" x14ac:dyDescent="0.3">
      <c r="A152" s="5" t="s">
        <v>364</v>
      </c>
      <c r="B152" s="5" t="s">
        <v>178</v>
      </c>
      <c r="C152" s="6">
        <v>46266</v>
      </c>
      <c r="D152" s="6">
        <v>46272</v>
      </c>
      <c r="E152" s="5"/>
      <c r="F152" s="7">
        <f>SUMIFS('Invoice Lines'!$G$2:$G$319,'Invoice Lines'!$A$2:$A$319,A152)</f>
        <v>180</v>
      </c>
      <c r="G152" s="7">
        <f>SUMIFS(Receipts!$D$2:$D$149,Receipts!$B$2:$B$149,A152)</f>
        <v>180</v>
      </c>
      <c r="H152" s="7">
        <f t="shared" si="8"/>
        <v>0</v>
      </c>
      <c r="I152" s="5" t="str">
        <f t="shared" si="9"/>
        <v>Paid</v>
      </c>
    </row>
    <row r="153" spans="1:9" x14ac:dyDescent="0.3">
      <c r="A153" s="5" t="s">
        <v>365</v>
      </c>
      <c r="B153" s="5" t="s">
        <v>180</v>
      </c>
      <c r="C153" s="6">
        <v>46266</v>
      </c>
      <c r="D153" s="6">
        <v>46272</v>
      </c>
      <c r="E153" s="5"/>
      <c r="F153" s="7">
        <f>SUMIFS('Invoice Lines'!$G$2:$G$319,'Invoice Lines'!$A$2:$A$319,A153)</f>
        <v>360</v>
      </c>
      <c r="G153" s="7">
        <f>SUMIFS(Receipts!$D$2:$D$149,Receipts!$B$2:$B$149,A153)</f>
        <v>360</v>
      </c>
      <c r="H153" s="7">
        <f t="shared" si="8"/>
        <v>0</v>
      </c>
      <c r="I153" s="5" t="str">
        <f t="shared" si="9"/>
        <v>Paid</v>
      </c>
    </row>
    <row r="154" spans="1:9" x14ac:dyDescent="0.3">
      <c r="A154" s="5" t="s">
        <v>366</v>
      </c>
      <c r="B154" s="5" t="s">
        <v>182</v>
      </c>
      <c r="C154" s="6">
        <v>46266</v>
      </c>
      <c r="D154" s="6">
        <v>46272</v>
      </c>
      <c r="E154" s="5" t="s">
        <v>329</v>
      </c>
      <c r="F154" s="7">
        <f>SUMIFS('Invoice Lines'!$G$2:$G$319,'Invoice Lines'!$A$2:$A$319,A154)</f>
        <v>180</v>
      </c>
      <c r="G154" s="7">
        <f>SUMIFS(Receipts!$D$2:$D$149,Receipts!$B$2:$B$149,A154)</f>
        <v>0</v>
      </c>
      <c r="H154" s="7">
        <f t="shared" si="8"/>
        <v>0</v>
      </c>
      <c r="I154" s="5" t="str">
        <f t="shared" si="9"/>
        <v>Void</v>
      </c>
    </row>
    <row r="155" spans="1:9" x14ac:dyDescent="0.3">
      <c r="A155" s="5" t="s">
        <v>367</v>
      </c>
      <c r="B155" s="5" t="s">
        <v>184</v>
      </c>
      <c r="C155" s="6">
        <v>46266</v>
      </c>
      <c r="D155" s="6">
        <v>46272</v>
      </c>
      <c r="E155" s="5"/>
      <c r="F155" s="7">
        <f>SUMIFS('Invoice Lines'!$G$2:$G$319,'Invoice Lines'!$A$2:$A$319,A155)</f>
        <v>180</v>
      </c>
      <c r="G155" s="7">
        <f>SUMIFS(Receipts!$D$2:$D$149,Receipts!$B$2:$B$149,A155)</f>
        <v>180</v>
      </c>
      <c r="H155" s="7">
        <f t="shared" si="8"/>
        <v>0</v>
      </c>
      <c r="I155" s="5" t="str">
        <f t="shared" si="9"/>
        <v>Paid</v>
      </c>
    </row>
    <row r="156" spans="1:9" x14ac:dyDescent="0.3">
      <c r="A156" s="5" t="s">
        <v>368</v>
      </c>
      <c r="B156" s="5" t="s">
        <v>186</v>
      </c>
      <c r="C156" s="6">
        <v>46266</v>
      </c>
      <c r="D156" s="6">
        <v>46272</v>
      </c>
      <c r="E156" s="5"/>
      <c r="F156" s="7">
        <f>SUMIFS('Invoice Lines'!$G$2:$G$319,'Invoice Lines'!$A$2:$A$319,A156)</f>
        <v>120</v>
      </c>
      <c r="G156" s="7">
        <f>SUMIFS(Receipts!$D$2:$D$149,Receipts!$B$2:$B$149,A156)</f>
        <v>120</v>
      </c>
      <c r="H156" s="7">
        <f t="shared" si="8"/>
        <v>0</v>
      </c>
      <c r="I156" s="5" t="str">
        <f t="shared" si="9"/>
        <v>Paid</v>
      </c>
    </row>
    <row r="157" spans="1:9" x14ac:dyDescent="0.3">
      <c r="A157" s="5" t="s">
        <v>369</v>
      </c>
      <c r="B157" s="5" t="s">
        <v>188</v>
      </c>
      <c r="C157" s="6">
        <v>46266</v>
      </c>
      <c r="D157" s="6">
        <v>46272</v>
      </c>
      <c r="E157" s="5"/>
      <c r="F157" s="7">
        <f>SUMIFS('Invoice Lines'!$G$2:$G$319,'Invoice Lines'!$A$2:$A$319,A157)</f>
        <v>540</v>
      </c>
      <c r="G157" s="7">
        <f>SUMIFS(Receipts!$D$2:$D$149,Receipts!$B$2:$B$149,A157)</f>
        <v>540</v>
      </c>
      <c r="H157" s="7">
        <f t="shared" si="8"/>
        <v>0</v>
      </c>
      <c r="I157" s="5" t="str">
        <f t="shared" si="9"/>
        <v>Paid</v>
      </c>
    </row>
    <row r="158" spans="1:9" x14ac:dyDescent="0.3">
      <c r="A158" s="5" t="s">
        <v>370</v>
      </c>
      <c r="B158" s="5" t="s">
        <v>192</v>
      </c>
      <c r="C158" s="6">
        <v>46266</v>
      </c>
      <c r="D158" s="6">
        <v>46272</v>
      </c>
      <c r="E158" s="5"/>
      <c r="F158" s="7">
        <f>SUMIFS('Invoice Lines'!$G$2:$G$319,'Invoice Lines'!$A$2:$A$319,A158)</f>
        <v>120</v>
      </c>
      <c r="G158" s="7">
        <f>SUMIFS(Receipts!$D$2:$D$149,Receipts!$B$2:$B$149,A158)</f>
        <v>120</v>
      </c>
      <c r="H158" s="7">
        <f t="shared" si="8"/>
        <v>0</v>
      </c>
      <c r="I158" s="5" t="str">
        <f t="shared" si="9"/>
        <v>Paid</v>
      </c>
    </row>
    <row r="159" spans="1:9" x14ac:dyDescent="0.3">
      <c r="A159" s="5" t="s">
        <v>371</v>
      </c>
      <c r="B159" s="5" t="s">
        <v>194</v>
      </c>
      <c r="C159" s="6">
        <v>46266</v>
      </c>
      <c r="D159" s="6">
        <v>46272</v>
      </c>
      <c r="E159" s="5"/>
      <c r="F159" s="7">
        <f>SUMIFS('Invoice Lines'!$G$2:$G$319,'Invoice Lines'!$A$2:$A$319,A159)</f>
        <v>300</v>
      </c>
      <c r="G159" s="7">
        <f>SUMIFS(Receipts!$D$2:$D$149,Receipts!$B$2:$B$149,A159)</f>
        <v>150</v>
      </c>
      <c r="H159" s="7">
        <f t="shared" si="8"/>
        <v>150</v>
      </c>
      <c r="I159" s="5" t="str">
        <f t="shared" si="9"/>
        <v>Partially Paid</v>
      </c>
    </row>
    <row r="160" spans="1:9" x14ac:dyDescent="0.3">
      <c r="A160" s="5" t="s">
        <v>372</v>
      </c>
      <c r="B160" s="5" t="s">
        <v>196</v>
      </c>
      <c r="C160" s="6">
        <v>46266</v>
      </c>
      <c r="D160" s="6">
        <v>46272</v>
      </c>
      <c r="E160" s="5"/>
      <c r="F160" s="7">
        <f>SUMIFS('Invoice Lines'!$G$2:$G$319,'Invoice Lines'!$A$2:$A$319,A160)</f>
        <v>120</v>
      </c>
      <c r="G160" s="7">
        <f>SUMIFS(Receipts!$D$2:$D$149,Receipts!$B$2:$B$149,A160)</f>
        <v>120</v>
      </c>
      <c r="H160" s="7">
        <f t="shared" si="8"/>
        <v>0</v>
      </c>
      <c r="I160" s="5" t="str">
        <f t="shared" si="9"/>
        <v>Paid</v>
      </c>
    </row>
    <row r="161" spans="1:9" x14ac:dyDescent="0.3">
      <c r="A161" s="5" t="s">
        <v>373</v>
      </c>
      <c r="B161" s="5" t="s">
        <v>198</v>
      </c>
      <c r="C161" s="6">
        <v>46266</v>
      </c>
      <c r="D161" s="6">
        <v>46272</v>
      </c>
      <c r="E161" s="5"/>
      <c r="F161" s="7">
        <f>SUMIFS('Invoice Lines'!$G$2:$G$319,'Invoice Lines'!$A$2:$A$319,A161)</f>
        <v>150</v>
      </c>
      <c r="G161" s="7">
        <f>SUMIFS(Receipts!$D$2:$D$149,Receipts!$B$2:$B$149,A161)</f>
        <v>150</v>
      </c>
      <c r="H161" s="7">
        <f t="shared" si="8"/>
        <v>0</v>
      </c>
      <c r="I161" s="5" t="str">
        <f t="shared" si="9"/>
        <v>Paid</v>
      </c>
    </row>
    <row r="162" spans="1:9" x14ac:dyDescent="0.3">
      <c r="A162" s="5" t="s">
        <v>374</v>
      </c>
      <c r="B162" s="5" t="s">
        <v>202</v>
      </c>
      <c r="C162" s="6">
        <v>46266</v>
      </c>
      <c r="D162" s="6">
        <v>46272</v>
      </c>
      <c r="E162" s="5" t="s">
        <v>329</v>
      </c>
      <c r="F162" s="7">
        <f>SUMIFS('Invoice Lines'!$G$2:$G$319,'Invoice Lines'!$A$2:$A$319,A162)</f>
        <v>360</v>
      </c>
      <c r="G162" s="7">
        <f>SUMIFS(Receipts!$D$2:$D$149,Receipts!$B$2:$B$149,A162)</f>
        <v>0</v>
      </c>
      <c r="H162" s="7">
        <f t="shared" ref="H162:H193" si="10">IF(E162="Yes",0,F162-G162)</f>
        <v>0</v>
      </c>
      <c r="I162" s="5" t="str">
        <f t="shared" ref="I162:I193" si="11">IF(E162="Yes","Void",IF(H162&lt;=0,"Paid",IF(G162&gt;0,"Partially Paid","Issued")))</f>
        <v>Void</v>
      </c>
    </row>
    <row r="163" spans="1:9" x14ac:dyDescent="0.3">
      <c r="A163" s="5" t="s">
        <v>375</v>
      </c>
      <c r="B163" s="5" t="s">
        <v>204</v>
      </c>
      <c r="C163" s="6">
        <v>46266</v>
      </c>
      <c r="D163" s="6">
        <v>46272</v>
      </c>
      <c r="E163" s="5" t="s">
        <v>329</v>
      </c>
      <c r="F163" s="7">
        <f>SUMIFS('Invoice Lines'!$G$2:$G$319,'Invoice Lines'!$A$2:$A$319,A163)</f>
        <v>360</v>
      </c>
      <c r="G163" s="7">
        <f>SUMIFS(Receipts!$D$2:$D$149,Receipts!$B$2:$B$149,A163)</f>
        <v>0</v>
      </c>
      <c r="H163" s="7">
        <f t="shared" si="10"/>
        <v>0</v>
      </c>
      <c r="I163" s="5" t="str">
        <f t="shared" si="11"/>
        <v>Void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1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2" width="6" customWidth="1"/>
    <col min="3" max="3" width="15" customWidth="1"/>
    <col min="4" max="4" width="46" customWidth="1"/>
    <col min="5" max="5" width="6" customWidth="1"/>
    <col min="6" max="6" width="10" customWidth="1"/>
    <col min="7" max="7" width="11" customWidth="1"/>
  </cols>
  <sheetData>
    <row r="1" spans="1:7" x14ac:dyDescent="0.3">
      <c r="A1" s="4" t="s">
        <v>206</v>
      </c>
      <c r="B1" s="4" t="s">
        <v>376</v>
      </c>
      <c r="C1" s="4" t="s">
        <v>377</v>
      </c>
      <c r="D1" s="4" t="s">
        <v>378</v>
      </c>
      <c r="E1" s="4" t="s">
        <v>379</v>
      </c>
      <c r="F1" s="4" t="s">
        <v>380</v>
      </c>
      <c r="G1" s="4" t="s">
        <v>381</v>
      </c>
    </row>
    <row r="2" spans="1:7" x14ac:dyDescent="0.3">
      <c r="A2" s="5" t="s">
        <v>213</v>
      </c>
      <c r="B2" s="8">
        <v>1</v>
      </c>
      <c r="C2" s="5" t="s">
        <v>382</v>
      </c>
      <c r="D2" s="5" t="s">
        <v>383</v>
      </c>
      <c r="E2" s="8">
        <v>1</v>
      </c>
      <c r="F2" s="7">
        <v>150</v>
      </c>
      <c r="G2" s="7">
        <f t="shared" ref="G2:G65" si="0">E2*F2</f>
        <v>150</v>
      </c>
    </row>
    <row r="3" spans="1:7" x14ac:dyDescent="0.3">
      <c r="A3" s="5" t="s">
        <v>213</v>
      </c>
      <c r="B3" s="8">
        <v>2</v>
      </c>
      <c r="C3" s="5" t="s">
        <v>384</v>
      </c>
      <c r="D3" s="5" t="s">
        <v>385</v>
      </c>
      <c r="E3" s="8">
        <v>1</v>
      </c>
      <c r="F3" s="7">
        <v>150</v>
      </c>
      <c r="G3" s="7">
        <f t="shared" si="0"/>
        <v>150</v>
      </c>
    </row>
    <row r="4" spans="1:7" x14ac:dyDescent="0.3">
      <c r="A4" s="5" t="s">
        <v>214</v>
      </c>
      <c r="B4" s="8">
        <v>1</v>
      </c>
      <c r="C4" s="5" t="s">
        <v>384</v>
      </c>
      <c r="D4" s="5" t="s">
        <v>386</v>
      </c>
      <c r="E4" s="8">
        <v>1</v>
      </c>
      <c r="F4" s="7">
        <v>180</v>
      </c>
      <c r="G4" s="7">
        <f t="shared" si="0"/>
        <v>180</v>
      </c>
    </row>
    <row r="5" spans="1:7" x14ac:dyDescent="0.3">
      <c r="A5" s="5" t="s">
        <v>215</v>
      </c>
      <c r="B5" s="8">
        <v>1</v>
      </c>
      <c r="C5" s="5" t="s">
        <v>384</v>
      </c>
      <c r="D5" s="5" t="s">
        <v>385</v>
      </c>
      <c r="E5" s="8">
        <v>1</v>
      </c>
      <c r="F5" s="7">
        <v>150</v>
      </c>
      <c r="G5" s="7">
        <f t="shared" si="0"/>
        <v>150</v>
      </c>
    </row>
    <row r="6" spans="1:7" x14ac:dyDescent="0.3">
      <c r="A6" s="5" t="s">
        <v>215</v>
      </c>
      <c r="B6" s="8">
        <v>2</v>
      </c>
      <c r="C6" s="5" t="s">
        <v>387</v>
      </c>
      <c r="D6" s="5" t="s">
        <v>388</v>
      </c>
      <c r="E6" s="8">
        <v>1</v>
      </c>
      <c r="F6" s="7">
        <v>150</v>
      </c>
      <c r="G6" s="7">
        <f t="shared" si="0"/>
        <v>150</v>
      </c>
    </row>
    <row r="7" spans="1:7" x14ac:dyDescent="0.3">
      <c r="A7" s="5" t="s">
        <v>216</v>
      </c>
      <c r="B7" s="8">
        <v>1</v>
      </c>
      <c r="C7" s="5" t="s">
        <v>384</v>
      </c>
      <c r="D7" s="5" t="s">
        <v>386</v>
      </c>
      <c r="E7" s="8">
        <v>1</v>
      </c>
      <c r="F7" s="7">
        <v>180</v>
      </c>
      <c r="G7" s="7">
        <f t="shared" si="0"/>
        <v>180</v>
      </c>
    </row>
    <row r="8" spans="1:7" x14ac:dyDescent="0.3">
      <c r="A8" s="5" t="s">
        <v>217</v>
      </c>
      <c r="B8" s="8">
        <v>1</v>
      </c>
      <c r="C8" s="5" t="s">
        <v>382</v>
      </c>
      <c r="D8" s="5" t="s">
        <v>389</v>
      </c>
      <c r="E8" s="8">
        <v>1</v>
      </c>
      <c r="F8" s="7">
        <v>120</v>
      </c>
      <c r="G8" s="7">
        <f t="shared" si="0"/>
        <v>120</v>
      </c>
    </row>
    <row r="9" spans="1:7" x14ac:dyDescent="0.3">
      <c r="A9" s="5" t="s">
        <v>217</v>
      </c>
      <c r="B9" s="8">
        <v>2</v>
      </c>
      <c r="C9" s="5" t="s">
        <v>390</v>
      </c>
      <c r="D9" s="5" t="s">
        <v>391</v>
      </c>
      <c r="E9" s="8">
        <v>1</v>
      </c>
      <c r="F9" s="7">
        <v>120</v>
      </c>
      <c r="G9" s="7">
        <f t="shared" si="0"/>
        <v>120</v>
      </c>
    </row>
    <row r="10" spans="1:7" x14ac:dyDescent="0.3">
      <c r="A10" s="5" t="s">
        <v>218</v>
      </c>
      <c r="B10" s="8">
        <v>1</v>
      </c>
      <c r="C10" s="5" t="s">
        <v>382</v>
      </c>
      <c r="D10" s="5" t="s">
        <v>392</v>
      </c>
      <c r="E10" s="8">
        <v>1</v>
      </c>
      <c r="F10" s="7">
        <v>150</v>
      </c>
      <c r="G10" s="7">
        <f t="shared" si="0"/>
        <v>150</v>
      </c>
    </row>
    <row r="11" spans="1:7" x14ac:dyDescent="0.3">
      <c r="A11" s="5" t="s">
        <v>219</v>
      </c>
      <c r="B11" s="8">
        <v>1</v>
      </c>
      <c r="C11" s="5" t="s">
        <v>390</v>
      </c>
      <c r="D11" s="5" t="s">
        <v>393</v>
      </c>
      <c r="E11" s="8">
        <v>1</v>
      </c>
      <c r="F11" s="7">
        <v>120</v>
      </c>
      <c r="G11" s="7">
        <f t="shared" si="0"/>
        <v>120</v>
      </c>
    </row>
    <row r="12" spans="1:7" x14ac:dyDescent="0.3">
      <c r="A12" s="5" t="s">
        <v>220</v>
      </c>
      <c r="B12" s="8">
        <v>1</v>
      </c>
      <c r="C12" s="5" t="s">
        <v>387</v>
      </c>
      <c r="D12" s="5" t="s">
        <v>394</v>
      </c>
      <c r="E12" s="8">
        <v>1</v>
      </c>
      <c r="F12" s="7">
        <v>120</v>
      </c>
      <c r="G12" s="7">
        <f t="shared" si="0"/>
        <v>120</v>
      </c>
    </row>
    <row r="13" spans="1:7" x14ac:dyDescent="0.3">
      <c r="A13" s="5" t="s">
        <v>220</v>
      </c>
      <c r="B13" s="8">
        <v>2</v>
      </c>
      <c r="C13" s="5" t="s">
        <v>390</v>
      </c>
      <c r="D13" s="5" t="s">
        <v>393</v>
      </c>
      <c r="E13" s="8">
        <v>1</v>
      </c>
      <c r="F13" s="7">
        <v>120</v>
      </c>
      <c r="G13" s="7">
        <f t="shared" si="0"/>
        <v>120</v>
      </c>
    </row>
    <row r="14" spans="1:7" x14ac:dyDescent="0.3">
      <c r="A14" s="5" t="s">
        <v>221</v>
      </c>
      <c r="B14" s="8">
        <v>1</v>
      </c>
      <c r="C14" s="5" t="s">
        <v>395</v>
      </c>
      <c r="D14" s="5" t="s">
        <v>396</v>
      </c>
      <c r="E14" s="8">
        <v>1</v>
      </c>
      <c r="F14" s="7">
        <v>120</v>
      </c>
      <c r="G14" s="7">
        <f t="shared" si="0"/>
        <v>120</v>
      </c>
    </row>
    <row r="15" spans="1:7" x14ac:dyDescent="0.3">
      <c r="A15" s="5" t="s">
        <v>221</v>
      </c>
      <c r="B15" s="8">
        <v>2</v>
      </c>
      <c r="C15" s="5" t="s">
        <v>390</v>
      </c>
      <c r="D15" s="5" t="s">
        <v>393</v>
      </c>
      <c r="E15" s="8">
        <v>1</v>
      </c>
      <c r="F15" s="7">
        <v>120</v>
      </c>
      <c r="G15" s="7">
        <f t="shared" si="0"/>
        <v>120</v>
      </c>
    </row>
    <row r="16" spans="1:7" x14ac:dyDescent="0.3">
      <c r="A16" s="5" t="s">
        <v>221</v>
      </c>
      <c r="B16" s="8">
        <v>3</v>
      </c>
      <c r="C16" s="5" t="s">
        <v>387</v>
      </c>
      <c r="D16" s="5" t="s">
        <v>394</v>
      </c>
      <c r="E16" s="8">
        <v>1</v>
      </c>
      <c r="F16" s="7">
        <v>120</v>
      </c>
      <c r="G16" s="7">
        <f t="shared" si="0"/>
        <v>120</v>
      </c>
    </row>
    <row r="17" spans="1:7" x14ac:dyDescent="0.3">
      <c r="A17" s="5" t="s">
        <v>222</v>
      </c>
      <c r="B17" s="8">
        <v>1</v>
      </c>
      <c r="C17" s="5" t="s">
        <v>395</v>
      </c>
      <c r="D17" s="5" t="s">
        <v>397</v>
      </c>
      <c r="E17" s="8">
        <v>1</v>
      </c>
      <c r="F17" s="7">
        <v>150</v>
      </c>
      <c r="G17" s="7">
        <f t="shared" si="0"/>
        <v>150</v>
      </c>
    </row>
    <row r="18" spans="1:7" x14ac:dyDescent="0.3">
      <c r="A18" s="5" t="s">
        <v>223</v>
      </c>
      <c r="B18" s="8">
        <v>1</v>
      </c>
      <c r="C18" s="5" t="s">
        <v>398</v>
      </c>
      <c r="D18" s="5" t="s">
        <v>399</v>
      </c>
      <c r="E18" s="8">
        <v>1</v>
      </c>
      <c r="F18" s="7">
        <v>180</v>
      </c>
      <c r="G18" s="7">
        <f t="shared" si="0"/>
        <v>180</v>
      </c>
    </row>
    <row r="19" spans="1:7" x14ac:dyDescent="0.3">
      <c r="A19" s="5" t="s">
        <v>223</v>
      </c>
      <c r="B19" s="8">
        <v>2</v>
      </c>
      <c r="C19" s="5" t="s">
        <v>400</v>
      </c>
      <c r="D19" s="5" t="s">
        <v>401</v>
      </c>
      <c r="E19" s="8">
        <v>1</v>
      </c>
      <c r="F19" s="7">
        <v>180</v>
      </c>
      <c r="G19" s="7">
        <f t="shared" si="0"/>
        <v>180</v>
      </c>
    </row>
    <row r="20" spans="1:7" x14ac:dyDescent="0.3">
      <c r="A20" s="5" t="s">
        <v>223</v>
      </c>
      <c r="B20" s="8">
        <v>3</v>
      </c>
      <c r="C20" s="5" t="s">
        <v>384</v>
      </c>
      <c r="D20" s="5" t="s">
        <v>386</v>
      </c>
      <c r="E20" s="8">
        <v>1</v>
      </c>
      <c r="F20" s="7">
        <v>180</v>
      </c>
      <c r="G20" s="7">
        <f t="shared" si="0"/>
        <v>180</v>
      </c>
    </row>
    <row r="21" spans="1:7" x14ac:dyDescent="0.3">
      <c r="A21" s="5" t="s">
        <v>224</v>
      </c>
      <c r="B21" s="8">
        <v>1</v>
      </c>
      <c r="C21" s="5" t="s">
        <v>390</v>
      </c>
      <c r="D21" s="5" t="s">
        <v>393</v>
      </c>
      <c r="E21" s="8">
        <v>1</v>
      </c>
      <c r="F21" s="7">
        <v>120</v>
      </c>
      <c r="G21" s="7">
        <f t="shared" si="0"/>
        <v>120</v>
      </c>
    </row>
    <row r="22" spans="1:7" x14ac:dyDescent="0.3">
      <c r="A22" s="5" t="s">
        <v>224</v>
      </c>
      <c r="B22" s="8">
        <v>2</v>
      </c>
      <c r="C22" s="5" t="s">
        <v>382</v>
      </c>
      <c r="D22" s="5" t="s">
        <v>402</v>
      </c>
      <c r="E22" s="8">
        <v>1</v>
      </c>
      <c r="F22" s="7">
        <v>120</v>
      </c>
      <c r="G22" s="7">
        <f t="shared" si="0"/>
        <v>120</v>
      </c>
    </row>
    <row r="23" spans="1:7" x14ac:dyDescent="0.3">
      <c r="A23" s="5" t="s">
        <v>224</v>
      </c>
      <c r="B23" s="8">
        <v>3</v>
      </c>
      <c r="C23" s="5" t="s">
        <v>395</v>
      </c>
      <c r="D23" s="5" t="s">
        <v>396</v>
      </c>
      <c r="E23" s="8">
        <v>1</v>
      </c>
      <c r="F23" s="7">
        <v>120</v>
      </c>
      <c r="G23" s="7">
        <f t="shared" si="0"/>
        <v>120</v>
      </c>
    </row>
    <row r="24" spans="1:7" x14ac:dyDescent="0.3">
      <c r="A24" s="5" t="s">
        <v>225</v>
      </c>
      <c r="B24" s="8">
        <v>1</v>
      </c>
      <c r="C24" s="5" t="s">
        <v>384</v>
      </c>
      <c r="D24" s="5" t="s">
        <v>403</v>
      </c>
      <c r="E24" s="8">
        <v>1</v>
      </c>
      <c r="F24" s="7">
        <v>150</v>
      </c>
      <c r="G24" s="7">
        <f t="shared" si="0"/>
        <v>150</v>
      </c>
    </row>
    <row r="25" spans="1:7" x14ac:dyDescent="0.3">
      <c r="A25" s="5" t="s">
        <v>225</v>
      </c>
      <c r="B25" s="8">
        <v>2</v>
      </c>
      <c r="C25" s="5" t="s">
        <v>395</v>
      </c>
      <c r="D25" s="5" t="s">
        <v>404</v>
      </c>
      <c r="E25" s="8">
        <v>1</v>
      </c>
      <c r="F25" s="7">
        <v>150</v>
      </c>
      <c r="G25" s="7">
        <f t="shared" si="0"/>
        <v>150</v>
      </c>
    </row>
    <row r="26" spans="1:7" x14ac:dyDescent="0.3">
      <c r="A26" s="5" t="s">
        <v>226</v>
      </c>
      <c r="B26" s="8">
        <v>1</v>
      </c>
      <c r="C26" s="5" t="s">
        <v>382</v>
      </c>
      <c r="D26" s="5" t="s">
        <v>392</v>
      </c>
      <c r="E26" s="8">
        <v>1</v>
      </c>
      <c r="F26" s="7">
        <v>150</v>
      </c>
      <c r="G26" s="7">
        <f t="shared" si="0"/>
        <v>150</v>
      </c>
    </row>
    <row r="27" spans="1:7" x14ac:dyDescent="0.3">
      <c r="A27" s="5" t="s">
        <v>226</v>
      </c>
      <c r="B27" s="8">
        <v>2</v>
      </c>
      <c r="C27" s="5" t="s">
        <v>384</v>
      </c>
      <c r="D27" s="5" t="s">
        <v>405</v>
      </c>
      <c r="E27" s="8">
        <v>1</v>
      </c>
      <c r="F27" s="7">
        <v>150</v>
      </c>
      <c r="G27" s="7">
        <f t="shared" si="0"/>
        <v>150</v>
      </c>
    </row>
    <row r="28" spans="1:7" x14ac:dyDescent="0.3">
      <c r="A28" s="5" t="s">
        <v>227</v>
      </c>
      <c r="B28" s="8">
        <v>1</v>
      </c>
      <c r="C28" s="5" t="s">
        <v>387</v>
      </c>
      <c r="D28" s="5" t="s">
        <v>406</v>
      </c>
      <c r="E28" s="8">
        <v>1</v>
      </c>
      <c r="F28" s="7">
        <v>120</v>
      </c>
      <c r="G28" s="7">
        <f t="shared" si="0"/>
        <v>120</v>
      </c>
    </row>
    <row r="29" spans="1:7" x14ac:dyDescent="0.3">
      <c r="A29" s="5" t="s">
        <v>227</v>
      </c>
      <c r="B29" s="8">
        <v>2</v>
      </c>
      <c r="C29" s="5" t="s">
        <v>390</v>
      </c>
      <c r="D29" s="5" t="s">
        <v>407</v>
      </c>
      <c r="E29" s="8">
        <v>1</v>
      </c>
      <c r="F29" s="7">
        <v>120</v>
      </c>
      <c r="G29" s="7">
        <f t="shared" si="0"/>
        <v>120</v>
      </c>
    </row>
    <row r="30" spans="1:7" x14ac:dyDescent="0.3">
      <c r="A30" s="5" t="s">
        <v>227</v>
      </c>
      <c r="B30" s="8">
        <v>3</v>
      </c>
      <c r="C30" s="5" t="s">
        <v>382</v>
      </c>
      <c r="D30" s="5" t="s">
        <v>408</v>
      </c>
      <c r="E30" s="8">
        <v>1</v>
      </c>
      <c r="F30" s="7">
        <v>120</v>
      </c>
      <c r="G30" s="7">
        <f t="shared" si="0"/>
        <v>120</v>
      </c>
    </row>
    <row r="31" spans="1:7" x14ac:dyDescent="0.3">
      <c r="A31" s="5" t="s">
        <v>228</v>
      </c>
      <c r="B31" s="8">
        <v>1</v>
      </c>
      <c r="C31" s="5" t="s">
        <v>384</v>
      </c>
      <c r="D31" s="5" t="s">
        <v>409</v>
      </c>
      <c r="E31" s="8">
        <v>1</v>
      </c>
      <c r="F31" s="7">
        <v>120</v>
      </c>
      <c r="G31" s="7">
        <f t="shared" si="0"/>
        <v>120</v>
      </c>
    </row>
    <row r="32" spans="1:7" x14ac:dyDescent="0.3">
      <c r="A32" s="5" t="s">
        <v>228</v>
      </c>
      <c r="B32" s="8">
        <v>2</v>
      </c>
      <c r="C32" s="5" t="s">
        <v>390</v>
      </c>
      <c r="D32" s="5" t="s">
        <v>391</v>
      </c>
      <c r="E32" s="8">
        <v>1</v>
      </c>
      <c r="F32" s="7">
        <v>120</v>
      </c>
      <c r="G32" s="7">
        <f t="shared" si="0"/>
        <v>120</v>
      </c>
    </row>
    <row r="33" spans="1:7" x14ac:dyDescent="0.3">
      <c r="A33" s="5" t="s">
        <v>229</v>
      </c>
      <c r="B33" s="8">
        <v>1</v>
      </c>
      <c r="C33" s="5" t="s">
        <v>387</v>
      </c>
      <c r="D33" s="5" t="s">
        <v>410</v>
      </c>
      <c r="E33" s="8">
        <v>1</v>
      </c>
      <c r="F33" s="7">
        <v>120</v>
      </c>
      <c r="G33" s="7">
        <f t="shared" si="0"/>
        <v>120</v>
      </c>
    </row>
    <row r="34" spans="1:7" x14ac:dyDescent="0.3">
      <c r="A34" s="5" t="s">
        <v>229</v>
      </c>
      <c r="B34" s="8">
        <v>2</v>
      </c>
      <c r="C34" s="5" t="s">
        <v>382</v>
      </c>
      <c r="D34" s="5" t="s">
        <v>389</v>
      </c>
      <c r="E34" s="8">
        <v>1</v>
      </c>
      <c r="F34" s="7">
        <v>120</v>
      </c>
      <c r="G34" s="7">
        <f t="shared" si="0"/>
        <v>120</v>
      </c>
    </row>
    <row r="35" spans="1:7" x14ac:dyDescent="0.3">
      <c r="A35" s="5" t="s">
        <v>229</v>
      </c>
      <c r="B35" s="8">
        <v>3</v>
      </c>
      <c r="C35" s="5" t="s">
        <v>390</v>
      </c>
      <c r="D35" s="5" t="s">
        <v>391</v>
      </c>
      <c r="E35" s="8">
        <v>1</v>
      </c>
      <c r="F35" s="7">
        <v>120</v>
      </c>
      <c r="G35" s="7">
        <f t="shared" si="0"/>
        <v>120</v>
      </c>
    </row>
    <row r="36" spans="1:7" x14ac:dyDescent="0.3">
      <c r="A36" s="5" t="s">
        <v>230</v>
      </c>
      <c r="B36" s="8">
        <v>1</v>
      </c>
      <c r="C36" s="5" t="s">
        <v>384</v>
      </c>
      <c r="D36" s="5" t="s">
        <v>411</v>
      </c>
      <c r="E36" s="8">
        <v>1</v>
      </c>
      <c r="F36" s="7">
        <v>180</v>
      </c>
      <c r="G36" s="7">
        <f t="shared" si="0"/>
        <v>180</v>
      </c>
    </row>
    <row r="37" spans="1:7" x14ac:dyDescent="0.3">
      <c r="A37" s="5" t="s">
        <v>230</v>
      </c>
      <c r="B37" s="8">
        <v>2</v>
      </c>
      <c r="C37" s="5" t="s">
        <v>412</v>
      </c>
      <c r="D37" s="5" t="s">
        <v>413</v>
      </c>
      <c r="E37" s="8">
        <v>1</v>
      </c>
      <c r="F37" s="7">
        <v>180</v>
      </c>
      <c r="G37" s="7">
        <f t="shared" si="0"/>
        <v>180</v>
      </c>
    </row>
    <row r="38" spans="1:7" x14ac:dyDescent="0.3">
      <c r="A38" s="5" t="s">
        <v>230</v>
      </c>
      <c r="B38" s="8">
        <v>3</v>
      </c>
      <c r="C38" s="5" t="s">
        <v>382</v>
      </c>
      <c r="D38" s="5" t="s">
        <v>414</v>
      </c>
      <c r="E38" s="8">
        <v>1</v>
      </c>
      <c r="F38" s="7">
        <v>180</v>
      </c>
      <c r="G38" s="7">
        <f t="shared" si="0"/>
        <v>180</v>
      </c>
    </row>
    <row r="39" spans="1:7" x14ac:dyDescent="0.3">
      <c r="A39" s="5" t="s">
        <v>231</v>
      </c>
      <c r="B39" s="8">
        <v>1</v>
      </c>
      <c r="C39" s="5" t="s">
        <v>395</v>
      </c>
      <c r="D39" s="5" t="s">
        <v>396</v>
      </c>
      <c r="E39" s="8">
        <v>1</v>
      </c>
      <c r="F39" s="7">
        <v>120</v>
      </c>
      <c r="G39" s="7">
        <f t="shared" si="0"/>
        <v>120</v>
      </c>
    </row>
    <row r="40" spans="1:7" x14ac:dyDescent="0.3">
      <c r="A40" s="5" t="s">
        <v>231</v>
      </c>
      <c r="B40" s="8">
        <v>2</v>
      </c>
      <c r="C40" s="5" t="s">
        <v>382</v>
      </c>
      <c r="D40" s="5" t="s">
        <v>402</v>
      </c>
      <c r="E40" s="8">
        <v>1</v>
      </c>
      <c r="F40" s="7">
        <v>120</v>
      </c>
      <c r="G40" s="7">
        <f t="shared" si="0"/>
        <v>120</v>
      </c>
    </row>
    <row r="41" spans="1:7" x14ac:dyDescent="0.3">
      <c r="A41" s="5" t="s">
        <v>231</v>
      </c>
      <c r="B41" s="8">
        <v>3</v>
      </c>
      <c r="C41" s="5" t="s">
        <v>384</v>
      </c>
      <c r="D41" s="5" t="s">
        <v>415</v>
      </c>
      <c r="E41" s="8">
        <v>1</v>
      </c>
      <c r="F41" s="7">
        <v>120</v>
      </c>
      <c r="G41" s="7">
        <f t="shared" si="0"/>
        <v>120</v>
      </c>
    </row>
    <row r="42" spans="1:7" x14ac:dyDescent="0.3">
      <c r="A42" s="5" t="s">
        <v>232</v>
      </c>
      <c r="B42" s="8">
        <v>1</v>
      </c>
      <c r="C42" s="5" t="s">
        <v>382</v>
      </c>
      <c r="D42" s="5" t="s">
        <v>402</v>
      </c>
      <c r="E42" s="8">
        <v>1</v>
      </c>
      <c r="F42" s="7">
        <v>120</v>
      </c>
      <c r="G42" s="7">
        <f t="shared" si="0"/>
        <v>120</v>
      </c>
    </row>
    <row r="43" spans="1:7" x14ac:dyDescent="0.3">
      <c r="A43" s="5" t="s">
        <v>232</v>
      </c>
      <c r="B43" s="8">
        <v>2</v>
      </c>
      <c r="C43" s="5" t="s">
        <v>395</v>
      </c>
      <c r="D43" s="5" t="s">
        <v>396</v>
      </c>
      <c r="E43" s="8">
        <v>1</v>
      </c>
      <c r="F43" s="7">
        <v>120</v>
      </c>
      <c r="G43" s="7">
        <f t="shared" si="0"/>
        <v>120</v>
      </c>
    </row>
    <row r="44" spans="1:7" x14ac:dyDescent="0.3">
      <c r="A44" s="5" t="s">
        <v>233</v>
      </c>
      <c r="B44" s="8">
        <v>1</v>
      </c>
      <c r="C44" s="5" t="s">
        <v>387</v>
      </c>
      <c r="D44" s="5" t="s">
        <v>416</v>
      </c>
      <c r="E44" s="8">
        <v>1</v>
      </c>
      <c r="F44" s="7">
        <v>150</v>
      </c>
      <c r="G44" s="7">
        <f t="shared" si="0"/>
        <v>150</v>
      </c>
    </row>
    <row r="45" spans="1:7" x14ac:dyDescent="0.3">
      <c r="A45" s="5" t="s">
        <v>234</v>
      </c>
      <c r="B45" s="8">
        <v>1</v>
      </c>
      <c r="C45" s="5" t="s">
        <v>390</v>
      </c>
      <c r="D45" s="5" t="s">
        <v>391</v>
      </c>
      <c r="E45" s="8">
        <v>1</v>
      </c>
      <c r="F45" s="7">
        <v>120</v>
      </c>
      <c r="G45" s="7">
        <f t="shared" si="0"/>
        <v>120</v>
      </c>
    </row>
    <row r="46" spans="1:7" x14ac:dyDescent="0.3">
      <c r="A46" s="5" t="s">
        <v>235</v>
      </c>
      <c r="B46" s="8">
        <v>1</v>
      </c>
      <c r="C46" s="5" t="s">
        <v>412</v>
      </c>
      <c r="D46" s="5" t="s">
        <v>417</v>
      </c>
      <c r="E46" s="8">
        <v>1</v>
      </c>
      <c r="F46" s="7">
        <v>180</v>
      </c>
      <c r="G46" s="7">
        <f t="shared" si="0"/>
        <v>180</v>
      </c>
    </row>
    <row r="47" spans="1:7" x14ac:dyDescent="0.3">
      <c r="A47" s="5" t="s">
        <v>236</v>
      </c>
      <c r="B47" s="8">
        <v>1</v>
      </c>
      <c r="C47" s="5" t="s">
        <v>400</v>
      </c>
      <c r="D47" s="5" t="s">
        <v>401</v>
      </c>
      <c r="E47" s="8">
        <v>1</v>
      </c>
      <c r="F47" s="7">
        <v>180</v>
      </c>
      <c r="G47" s="7">
        <f t="shared" si="0"/>
        <v>180</v>
      </c>
    </row>
    <row r="48" spans="1:7" x14ac:dyDescent="0.3">
      <c r="A48" s="5" t="s">
        <v>236</v>
      </c>
      <c r="B48" s="8">
        <v>2</v>
      </c>
      <c r="C48" s="5" t="s">
        <v>382</v>
      </c>
      <c r="D48" s="5" t="s">
        <v>418</v>
      </c>
      <c r="E48" s="8">
        <v>1</v>
      </c>
      <c r="F48" s="7">
        <v>180</v>
      </c>
      <c r="G48" s="7">
        <f t="shared" si="0"/>
        <v>180</v>
      </c>
    </row>
    <row r="49" spans="1:7" x14ac:dyDescent="0.3">
      <c r="A49" s="5" t="s">
        <v>237</v>
      </c>
      <c r="B49" s="8">
        <v>1</v>
      </c>
      <c r="C49" s="5" t="s">
        <v>412</v>
      </c>
      <c r="D49" s="5" t="s">
        <v>413</v>
      </c>
      <c r="E49" s="8">
        <v>1</v>
      </c>
      <c r="F49" s="7">
        <v>180</v>
      </c>
      <c r="G49" s="7">
        <f t="shared" si="0"/>
        <v>180</v>
      </c>
    </row>
    <row r="50" spans="1:7" x14ac:dyDescent="0.3">
      <c r="A50" s="5" t="s">
        <v>237</v>
      </c>
      <c r="B50" s="8">
        <v>2</v>
      </c>
      <c r="C50" s="5" t="s">
        <v>382</v>
      </c>
      <c r="D50" s="5" t="s">
        <v>414</v>
      </c>
      <c r="E50" s="8">
        <v>1</v>
      </c>
      <c r="F50" s="7">
        <v>180</v>
      </c>
      <c r="G50" s="7">
        <f t="shared" si="0"/>
        <v>180</v>
      </c>
    </row>
    <row r="51" spans="1:7" x14ac:dyDescent="0.3">
      <c r="A51" s="5" t="s">
        <v>237</v>
      </c>
      <c r="B51" s="8">
        <v>3</v>
      </c>
      <c r="C51" s="5" t="s">
        <v>398</v>
      </c>
      <c r="D51" s="5" t="s">
        <v>419</v>
      </c>
      <c r="E51" s="8">
        <v>1</v>
      </c>
      <c r="F51" s="7">
        <v>180</v>
      </c>
      <c r="G51" s="7">
        <f t="shared" si="0"/>
        <v>180</v>
      </c>
    </row>
    <row r="52" spans="1:7" x14ac:dyDescent="0.3">
      <c r="A52" s="5" t="s">
        <v>238</v>
      </c>
      <c r="B52" s="8">
        <v>1</v>
      </c>
      <c r="C52" s="5" t="s">
        <v>398</v>
      </c>
      <c r="D52" s="5" t="s">
        <v>399</v>
      </c>
      <c r="E52" s="8">
        <v>1</v>
      </c>
      <c r="F52" s="7">
        <v>180</v>
      </c>
      <c r="G52" s="7">
        <f t="shared" si="0"/>
        <v>180</v>
      </c>
    </row>
    <row r="53" spans="1:7" x14ac:dyDescent="0.3">
      <c r="A53" s="5" t="s">
        <v>238</v>
      </c>
      <c r="B53" s="8">
        <v>2</v>
      </c>
      <c r="C53" s="5" t="s">
        <v>384</v>
      </c>
      <c r="D53" s="5" t="s">
        <v>386</v>
      </c>
      <c r="E53" s="8">
        <v>1</v>
      </c>
      <c r="F53" s="7">
        <v>180</v>
      </c>
      <c r="G53" s="7">
        <f t="shared" si="0"/>
        <v>180</v>
      </c>
    </row>
    <row r="54" spans="1:7" x14ac:dyDescent="0.3">
      <c r="A54" s="5" t="s">
        <v>238</v>
      </c>
      <c r="B54" s="8">
        <v>3</v>
      </c>
      <c r="C54" s="5" t="s">
        <v>412</v>
      </c>
      <c r="D54" s="5" t="s">
        <v>417</v>
      </c>
      <c r="E54" s="8">
        <v>1</v>
      </c>
      <c r="F54" s="7">
        <v>180</v>
      </c>
      <c r="G54" s="7">
        <f t="shared" si="0"/>
        <v>180</v>
      </c>
    </row>
    <row r="55" spans="1:7" x14ac:dyDescent="0.3">
      <c r="A55" s="5" t="s">
        <v>239</v>
      </c>
      <c r="B55" s="8">
        <v>1</v>
      </c>
      <c r="C55" s="5" t="s">
        <v>382</v>
      </c>
      <c r="D55" s="5" t="s">
        <v>408</v>
      </c>
      <c r="E55" s="8">
        <v>1</v>
      </c>
      <c r="F55" s="7">
        <v>120</v>
      </c>
      <c r="G55" s="7">
        <f t="shared" si="0"/>
        <v>120</v>
      </c>
    </row>
    <row r="56" spans="1:7" x14ac:dyDescent="0.3">
      <c r="A56" s="5" t="s">
        <v>239</v>
      </c>
      <c r="B56" s="8">
        <v>2</v>
      </c>
      <c r="C56" s="5" t="s">
        <v>395</v>
      </c>
      <c r="D56" s="5" t="s">
        <v>420</v>
      </c>
      <c r="E56" s="8">
        <v>1</v>
      </c>
      <c r="F56" s="7">
        <v>120</v>
      </c>
      <c r="G56" s="7">
        <f t="shared" si="0"/>
        <v>120</v>
      </c>
    </row>
    <row r="57" spans="1:7" x14ac:dyDescent="0.3">
      <c r="A57" s="5" t="s">
        <v>240</v>
      </c>
      <c r="B57" s="8">
        <v>1</v>
      </c>
      <c r="C57" s="5" t="s">
        <v>382</v>
      </c>
      <c r="D57" s="5" t="s">
        <v>402</v>
      </c>
      <c r="E57" s="8">
        <v>1</v>
      </c>
      <c r="F57" s="7">
        <v>120</v>
      </c>
      <c r="G57" s="7">
        <f t="shared" si="0"/>
        <v>120</v>
      </c>
    </row>
    <row r="58" spans="1:7" x14ac:dyDescent="0.3">
      <c r="A58" s="5" t="s">
        <v>241</v>
      </c>
      <c r="B58" s="8">
        <v>1</v>
      </c>
      <c r="C58" s="5" t="s">
        <v>395</v>
      </c>
      <c r="D58" s="5" t="s">
        <v>396</v>
      </c>
      <c r="E58" s="8">
        <v>1</v>
      </c>
      <c r="F58" s="7">
        <v>120</v>
      </c>
      <c r="G58" s="7">
        <f t="shared" si="0"/>
        <v>120</v>
      </c>
    </row>
    <row r="59" spans="1:7" x14ac:dyDescent="0.3">
      <c r="A59" s="5" t="s">
        <v>241</v>
      </c>
      <c r="B59" s="8">
        <v>2</v>
      </c>
      <c r="C59" s="5" t="s">
        <v>390</v>
      </c>
      <c r="D59" s="5" t="s">
        <v>393</v>
      </c>
      <c r="E59" s="8">
        <v>1</v>
      </c>
      <c r="F59" s="7">
        <v>120</v>
      </c>
      <c r="G59" s="7">
        <f t="shared" si="0"/>
        <v>120</v>
      </c>
    </row>
    <row r="60" spans="1:7" x14ac:dyDescent="0.3">
      <c r="A60" s="5" t="s">
        <v>241</v>
      </c>
      <c r="B60" s="8">
        <v>3</v>
      </c>
      <c r="C60" s="5" t="s">
        <v>387</v>
      </c>
      <c r="D60" s="5" t="s">
        <v>394</v>
      </c>
      <c r="E60" s="8">
        <v>1</v>
      </c>
      <c r="F60" s="7">
        <v>120</v>
      </c>
      <c r="G60" s="7">
        <f t="shared" si="0"/>
        <v>120</v>
      </c>
    </row>
    <row r="61" spans="1:7" x14ac:dyDescent="0.3">
      <c r="A61" s="5" t="s">
        <v>242</v>
      </c>
      <c r="B61" s="8">
        <v>1</v>
      </c>
      <c r="C61" s="5" t="s">
        <v>387</v>
      </c>
      <c r="D61" s="5" t="s">
        <v>410</v>
      </c>
      <c r="E61" s="8">
        <v>1</v>
      </c>
      <c r="F61" s="7">
        <v>120</v>
      </c>
      <c r="G61" s="7">
        <f t="shared" si="0"/>
        <v>120</v>
      </c>
    </row>
    <row r="62" spans="1:7" x14ac:dyDescent="0.3">
      <c r="A62" s="5" t="s">
        <v>242</v>
      </c>
      <c r="B62" s="8">
        <v>2</v>
      </c>
      <c r="C62" s="5" t="s">
        <v>384</v>
      </c>
      <c r="D62" s="5" t="s">
        <v>409</v>
      </c>
      <c r="E62" s="8">
        <v>1</v>
      </c>
      <c r="F62" s="7">
        <v>120</v>
      </c>
      <c r="G62" s="7">
        <f t="shared" si="0"/>
        <v>120</v>
      </c>
    </row>
    <row r="63" spans="1:7" x14ac:dyDescent="0.3">
      <c r="A63" s="5" t="s">
        <v>242</v>
      </c>
      <c r="B63" s="8">
        <v>3</v>
      </c>
      <c r="C63" s="5" t="s">
        <v>390</v>
      </c>
      <c r="D63" s="5" t="s">
        <v>391</v>
      </c>
      <c r="E63" s="8">
        <v>1</v>
      </c>
      <c r="F63" s="7">
        <v>120</v>
      </c>
      <c r="G63" s="7">
        <f t="shared" si="0"/>
        <v>120</v>
      </c>
    </row>
    <row r="64" spans="1:7" x14ac:dyDescent="0.3">
      <c r="A64" s="5" t="s">
        <v>243</v>
      </c>
      <c r="B64" s="8">
        <v>1</v>
      </c>
      <c r="C64" s="5" t="s">
        <v>395</v>
      </c>
      <c r="D64" s="5" t="s">
        <v>397</v>
      </c>
      <c r="E64" s="8">
        <v>1</v>
      </c>
      <c r="F64" s="7">
        <v>150</v>
      </c>
      <c r="G64" s="7">
        <f t="shared" si="0"/>
        <v>150</v>
      </c>
    </row>
    <row r="65" spans="1:7" x14ac:dyDescent="0.3">
      <c r="A65" s="5" t="s">
        <v>243</v>
      </c>
      <c r="B65" s="8">
        <v>2</v>
      </c>
      <c r="C65" s="5" t="s">
        <v>382</v>
      </c>
      <c r="D65" s="5" t="s">
        <v>392</v>
      </c>
      <c r="E65" s="8">
        <v>1</v>
      </c>
      <c r="F65" s="7">
        <v>150</v>
      </c>
      <c r="G65" s="7">
        <f t="shared" si="0"/>
        <v>150</v>
      </c>
    </row>
    <row r="66" spans="1:7" x14ac:dyDescent="0.3">
      <c r="A66" s="5" t="s">
        <v>243</v>
      </c>
      <c r="B66" s="8">
        <v>3</v>
      </c>
      <c r="C66" s="5" t="s">
        <v>387</v>
      </c>
      <c r="D66" s="5" t="s">
        <v>421</v>
      </c>
      <c r="E66" s="8">
        <v>1</v>
      </c>
      <c r="F66" s="7">
        <v>150</v>
      </c>
      <c r="G66" s="7">
        <f t="shared" ref="G66:G129" si="1">E66*F66</f>
        <v>150</v>
      </c>
    </row>
    <row r="67" spans="1:7" x14ac:dyDescent="0.3">
      <c r="A67" s="5" t="s">
        <v>244</v>
      </c>
      <c r="B67" s="8">
        <v>1</v>
      </c>
      <c r="C67" s="5" t="s">
        <v>395</v>
      </c>
      <c r="D67" s="5" t="s">
        <v>396</v>
      </c>
      <c r="E67" s="8">
        <v>1</v>
      </c>
      <c r="F67" s="7">
        <v>120</v>
      </c>
      <c r="G67" s="7">
        <f t="shared" si="1"/>
        <v>120</v>
      </c>
    </row>
    <row r="68" spans="1:7" x14ac:dyDescent="0.3">
      <c r="A68" s="5" t="s">
        <v>244</v>
      </c>
      <c r="B68" s="8">
        <v>2</v>
      </c>
      <c r="C68" s="5" t="s">
        <v>390</v>
      </c>
      <c r="D68" s="5" t="s">
        <v>393</v>
      </c>
      <c r="E68" s="8">
        <v>1</v>
      </c>
      <c r="F68" s="7">
        <v>120</v>
      </c>
      <c r="G68" s="7">
        <f t="shared" si="1"/>
        <v>120</v>
      </c>
    </row>
    <row r="69" spans="1:7" x14ac:dyDescent="0.3">
      <c r="A69" s="5" t="s">
        <v>244</v>
      </c>
      <c r="B69" s="8">
        <v>3</v>
      </c>
      <c r="C69" s="5" t="s">
        <v>387</v>
      </c>
      <c r="D69" s="5" t="s">
        <v>394</v>
      </c>
      <c r="E69" s="8">
        <v>1</v>
      </c>
      <c r="F69" s="7">
        <v>120</v>
      </c>
      <c r="G69" s="7">
        <f t="shared" si="1"/>
        <v>120</v>
      </c>
    </row>
    <row r="70" spans="1:7" x14ac:dyDescent="0.3">
      <c r="A70" s="5" t="s">
        <v>245</v>
      </c>
      <c r="B70" s="8">
        <v>1</v>
      </c>
      <c r="C70" s="5" t="s">
        <v>382</v>
      </c>
      <c r="D70" s="5" t="s">
        <v>402</v>
      </c>
      <c r="E70" s="8">
        <v>1</v>
      </c>
      <c r="F70" s="7">
        <v>120</v>
      </c>
      <c r="G70" s="7">
        <f t="shared" si="1"/>
        <v>120</v>
      </c>
    </row>
    <row r="71" spans="1:7" x14ac:dyDescent="0.3">
      <c r="A71" s="5" t="s">
        <v>245</v>
      </c>
      <c r="B71" s="8">
        <v>2</v>
      </c>
      <c r="C71" s="5" t="s">
        <v>395</v>
      </c>
      <c r="D71" s="5" t="s">
        <v>396</v>
      </c>
      <c r="E71" s="8">
        <v>1</v>
      </c>
      <c r="F71" s="7">
        <v>120</v>
      </c>
      <c r="G71" s="7">
        <f t="shared" si="1"/>
        <v>120</v>
      </c>
    </row>
    <row r="72" spans="1:7" x14ac:dyDescent="0.3">
      <c r="A72" s="5" t="s">
        <v>246</v>
      </c>
      <c r="B72" s="8">
        <v>1</v>
      </c>
      <c r="C72" s="5" t="s">
        <v>395</v>
      </c>
      <c r="D72" s="5" t="s">
        <v>404</v>
      </c>
      <c r="E72" s="8">
        <v>1</v>
      </c>
      <c r="F72" s="7">
        <v>150</v>
      </c>
      <c r="G72" s="7">
        <f t="shared" si="1"/>
        <v>150</v>
      </c>
    </row>
    <row r="73" spans="1:7" x14ac:dyDescent="0.3">
      <c r="A73" s="5" t="s">
        <v>247</v>
      </c>
      <c r="B73" s="8">
        <v>1</v>
      </c>
      <c r="C73" s="5" t="s">
        <v>412</v>
      </c>
      <c r="D73" s="5" t="s">
        <v>413</v>
      </c>
      <c r="E73" s="8">
        <v>1</v>
      </c>
      <c r="F73" s="7">
        <v>180</v>
      </c>
      <c r="G73" s="7">
        <f t="shared" si="1"/>
        <v>180</v>
      </c>
    </row>
    <row r="74" spans="1:7" x14ac:dyDescent="0.3">
      <c r="A74" s="5" t="s">
        <v>247</v>
      </c>
      <c r="B74" s="8">
        <v>2</v>
      </c>
      <c r="C74" s="5" t="s">
        <v>382</v>
      </c>
      <c r="D74" s="5" t="s">
        <v>414</v>
      </c>
      <c r="E74" s="8">
        <v>1</v>
      </c>
      <c r="F74" s="7">
        <v>180</v>
      </c>
      <c r="G74" s="7">
        <f t="shared" si="1"/>
        <v>180</v>
      </c>
    </row>
    <row r="75" spans="1:7" x14ac:dyDescent="0.3">
      <c r="A75" s="5" t="s">
        <v>248</v>
      </c>
      <c r="B75" s="8">
        <v>1</v>
      </c>
      <c r="C75" s="5" t="s">
        <v>384</v>
      </c>
      <c r="D75" s="5" t="s">
        <v>403</v>
      </c>
      <c r="E75" s="8">
        <v>1</v>
      </c>
      <c r="F75" s="7">
        <v>150</v>
      </c>
      <c r="G75" s="7">
        <f t="shared" si="1"/>
        <v>150</v>
      </c>
    </row>
    <row r="76" spans="1:7" x14ac:dyDescent="0.3">
      <c r="A76" s="5" t="s">
        <v>248</v>
      </c>
      <c r="B76" s="8">
        <v>2</v>
      </c>
      <c r="C76" s="5" t="s">
        <v>387</v>
      </c>
      <c r="D76" s="5" t="s">
        <v>416</v>
      </c>
      <c r="E76" s="8">
        <v>1</v>
      </c>
      <c r="F76" s="7">
        <v>150</v>
      </c>
      <c r="G76" s="7">
        <f t="shared" si="1"/>
        <v>150</v>
      </c>
    </row>
    <row r="77" spans="1:7" x14ac:dyDescent="0.3">
      <c r="A77" s="5" t="s">
        <v>249</v>
      </c>
      <c r="B77" s="8">
        <v>1</v>
      </c>
      <c r="C77" s="5" t="s">
        <v>390</v>
      </c>
      <c r="D77" s="5" t="s">
        <v>407</v>
      </c>
      <c r="E77" s="8">
        <v>1</v>
      </c>
      <c r="F77" s="7">
        <v>120</v>
      </c>
      <c r="G77" s="7">
        <f t="shared" si="1"/>
        <v>120</v>
      </c>
    </row>
    <row r="78" spans="1:7" x14ac:dyDescent="0.3">
      <c r="A78" s="5" t="s">
        <v>249</v>
      </c>
      <c r="B78" s="8">
        <v>2</v>
      </c>
      <c r="C78" s="5" t="s">
        <v>382</v>
      </c>
      <c r="D78" s="5" t="s">
        <v>408</v>
      </c>
      <c r="E78" s="8">
        <v>1</v>
      </c>
      <c r="F78" s="7">
        <v>120</v>
      </c>
      <c r="G78" s="7">
        <f t="shared" si="1"/>
        <v>120</v>
      </c>
    </row>
    <row r="79" spans="1:7" x14ac:dyDescent="0.3">
      <c r="A79" s="5" t="s">
        <v>250</v>
      </c>
      <c r="B79" s="8">
        <v>1</v>
      </c>
      <c r="C79" s="5" t="s">
        <v>384</v>
      </c>
      <c r="D79" s="5" t="s">
        <v>411</v>
      </c>
      <c r="E79" s="8">
        <v>1</v>
      </c>
      <c r="F79" s="7">
        <v>180</v>
      </c>
      <c r="G79" s="7">
        <f t="shared" si="1"/>
        <v>180</v>
      </c>
    </row>
    <row r="80" spans="1:7" x14ac:dyDescent="0.3">
      <c r="A80" s="5" t="s">
        <v>250</v>
      </c>
      <c r="B80" s="8">
        <v>2</v>
      </c>
      <c r="C80" s="5" t="s">
        <v>400</v>
      </c>
      <c r="D80" s="5" t="s">
        <v>422</v>
      </c>
      <c r="E80" s="8">
        <v>1</v>
      </c>
      <c r="F80" s="7">
        <v>180</v>
      </c>
      <c r="G80" s="7">
        <f t="shared" si="1"/>
        <v>180</v>
      </c>
    </row>
    <row r="81" spans="1:7" x14ac:dyDescent="0.3">
      <c r="A81" s="5" t="s">
        <v>250</v>
      </c>
      <c r="B81" s="8">
        <v>3</v>
      </c>
      <c r="C81" s="5" t="s">
        <v>412</v>
      </c>
      <c r="D81" s="5" t="s">
        <v>413</v>
      </c>
      <c r="E81" s="8">
        <v>1</v>
      </c>
      <c r="F81" s="7">
        <v>180</v>
      </c>
      <c r="G81" s="7">
        <f t="shared" si="1"/>
        <v>180</v>
      </c>
    </row>
    <row r="82" spans="1:7" x14ac:dyDescent="0.3">
      <c r="A82" s="5" t="s">
        <v>251</v>
      </c>
      <c r="B82" s="8">
        <v>1</v>
      </c>
      <c r="C82" s="5" t="s">
        <v>387</v>
      </c>
      <c r="D82" s="5" t="s">
        <v>421</v>
      </c>
      <c r="E82" s="8">
        <v>1</v>
      </c>
      <c r="F82" s="7">
        <v>150</v>
      </c>
      <c r="G82" s="7">
        <f t="shared" si="1"/>
        <v>150</v>
      </c>
    </row>
    <row r="83" spans="1:7" x14ac:dyDescent="0.3">
      <c r="A83" s="5" t="s">
        <v>252</v>
      </c>
      <c r="B83" s="8">
        <v>1</v>
      </c>
      <c r="C83" s="5" t="s">
        <v>412</v>
      </c>
      <c r="D83" s="5" t="s">
        <v>417</v>
      </c>
      <c r="E83" s="8">
        <v>1</v>
      </c>
      <c r="F83" s="7">
        <v>180</v>
      </c>
      <c r="G83" s="7">
        <f t="shared" si="1"/>
        <v>180</v>
      </c>
    </row>
    <row r="84" spans="1:7" x14ac:dyDescent="0.3">
      <c r="A84" s="5" t="s">
        <v>253</v>
      </c>
      <c r="B84" s="8">
        <v>1</v>
      </c>
      <c r="C84" s="5" t="s">
        <v>384</v>
      </c>
      <c r="D84" s="5" t="s">
        <v>386</v>
      </c>
      <c r="E84" s="8">
        <v>1</v>
      </c>
      <c r="F84" s="7">
        <v>180</v>
      </c>
      <c r="G84" s="7">
        <f t="shared" si="1"/>
        <v>180</v>
      </c>
    </row>
    <row r="85" spans="1:7" x14ac:dyDescent="0.3">
      <c r="A85" s="5" t="s">
        <v>253</v>
      </c>
      <c r="B85" s="8">
        <v>2</v>
      </c>
      <c r="C85" s="5" t="s">
        <v>400</v>
      </c>
      <c r="D85" s="5" t="s">
        <v>401</v>
      </c>
      <c r="E85" s="8">
        <v>1</v>
      </c>
      <c r="F85" s="7">
        <v>180</v>
      </c>
      <c r="G85" s="7">
        <f t="shared" si="1"/>
        <v>180</v>
      </c>
    </row>
    <row r="86" spans="1:7" x14ac:dyDescent="0.3">
      <c r="A86" s="5" t="s">
        <v>254</v>
      </c>
      <c r="B86" s="8">
        <v>1</v>
      </c>
      <c r="C86" s="5" t="s">
        <v>412</v>
      </c>
      <c r="D86" s="5" t="s">
        <v>417</v>
      </c>
      <c r="E86" s="8">
        <v>1</v>
      </c>
      <c r="F86" s="7">
        <v>180</v>
      </c>
      <c r="G86" s="7">
        <f t="shared" si="1"/>
        <v>180</v>
      </c>
    </row>
    <row r="87" spans="1:7" x14ac:dyDescent="0.3">
      <c r="A87" s="5" t="s">
        <v>255</v>
      </c>
      <c r="B87" s="8">
        <v>1</v>
      </c>
      <c r="C87" s="5" t="s">
        <v>382</v>
      </c>
      <c r="D87" s="5" t="s">
        <v>418</v>
      </c>
      <c r="E87" s="8">
        <v>1</v>
      </c>
      <c r="F87" s="7">
        <v>180</v>
      </c>
      <c r="G87" s="7">
        <f t="shared" si="1"/>
        <v>180</v>
      </c>
    </row>
    <row r="88" spans="1:7" x14ac:dyDescent="0.3">
      <c r="A88" s="5" t="s">
        <v>256</v>
      </c>
      <c r="B88" s="8">
        <v>1</v>
      </c>
      <c r="C88" s="5" t="s">
        <v>382</v>
      </c>
      <c r="D88" s="5" t="s">
        <v>402</v>
      </c>
      <c r="E88" s="8">
        <v>1</v>
      </c>
      <c r="F88" s="7">
        <v>120</v>
      </c>
      <c r="G88" s="7">
        <f t="shared" si="1"/>
        <v>120</v>
      </c>
    </row>
    <row r="89" spans="1:7" x14ac:dyDescent="0.3">
      <c r="A89" s="5" t="s">
        <v>257</v>
      </c>
      <c r="B89" s="8">
        <v>1</v>
      </c>
      <c r="C89" s="5" t="s">
        <v>400</v>
      </c>
      <c r="D89" s="5" t="s">
        <v>422</v>
      </c>
      <c r="E89" s="8">
        <v>1</v>
      </c>
      <c r="F89" s="7">
        <v>180</v>
      </c>
      <c r="G89" s="7">
        <f t="shared" si="1"/>
        <v>180</v>
      </c>
    </row>
    <row r="90" spans="1:7" x14ac:dyDescent="0.3">
      <c r="A90" s="5" t="s">
        <v>257</v>
      </c>
      <c r="B90" s="8">
        <v>2</v>
      </c>
      <c r="C90" s="5" t="s">
        <v>382</v>
      </c>
      <c r="D90" s="5" t="s">
        <v>414</v>
      </c>
      <c r="E90" s="8">
        <v>1</v>
      </c>
      <c r="F90" s="7">
        <v>180</v>
      </c>
      <c r="G90" s="7">
        <f t="shared" si="1"/>
        <v>180</v>
      </c>
    </row>
    <row r="91" spans="1:7" x14ac:dyDescent="0.3">
      <c r="A91" s="5" t="s">
        <v>257</v>
      </c>
      <c r="B91" s="8">
        <v>3</v>
      </c>
      <c r="C91" s="5" t="s">
        <v>384</v>
      </c>
      <c r="D91" s="5" t="s">
        <v>411</v>
      </c>
      <c r="E91" s="8">
        <v>1</v>
      </c>
      <c r="F91" s="7">
        <v>180</v>
      </c>
      <c r="G91" s="7">
        <f t="shared" si="1"/>
        <v>180</v>
      </c>
    </row>
    <row r="92" spans="1:7" x14ac:dyDescent="0.3">
      <c r="A92" s="5" t="s">
        <v>258</v>
      </c>
      <c r="B92" s="8">
        <v>1</v>
      </c>
      <c r="C92" s="5" t="s">
        <v>382</v>
      </c>
      <c r="D92" s="5" t="s">
        <v>389</v>
      </c>
      <c r="E92" s="8">
        <v>1</v>
      </c>
      <c r="F92" s="7">
        <v>120</v>
      </c>
      <c r="G92" s="7">
        <f t="shared" si="1"/>
        <v>120</v>
      </c>
    </row>
    <row r="93" spans="1:7" x14ac:dyDescent="0.3">
      <c r="A93" s="5" t="s">
        <v>259</v>
      </c>
      <c r="B93" s="8">
        <v>1</v>
      </c>
      <c r="C93" s="5" t="s">
        <v>395</v>
      </c>
      <c r="D93" s="5" t="s">
        <v>404</v>
      </c>
      <c r="E93" s="8">
        <v>1</v>
      </c>
      <c r="F93" s="7">
        <v>150</v>
      </c>
      <c r="G93" s="7">
        <f t="shared" si="1"/>
        <v>150</v>
      </c>
    </row>
    <row r="94" spans="1:7" x14ac:dyDescent="0.3">
      <c r="A94" s="5" t="s">
        <v>259</v>
      </c>
      <c r="B94" s="8">
        <v>2</v>
      </c>
      <c r="C94" s="5" t="s">
        <v>382</v>
      </c>
      <c r="D94" s="5" t="s">
        <v>423</v>
      </c>
      <c r="E94" s="8">
        <v>1</v>
      </c>
      <c r="F94" s="7">
        <v>150</v>
      </c>
      <c r="G94" s="7">
        <f t="shared" si="1"/>
        <v>150</v>
      </c>
    </row>
    <row r="95" spans="1:7" x14ac:dyDescent="0.3">
      <c r="A95" s="5" t="s">
        <v>260</v>
      </c>
      <c r="B95" s="8">
        <v>1</v>
      </c>
      <c r="C95" s="5" t="s">
        <v>390</v>
      </c>
      <c r="D95" s="5" t="s">
        <v>407</v>
      </c>
      <c r="E95" s="8">
        <v>1</v>
      </c>
      <c r="F95" s="7">
        <v>120</v>
      </c>
      <c r="G95" s="7">
        <f t="shared" si="1"/>
        <v>120</v>
      </c>
    </row>
    <row r="96" spans="1:7" x14ac:dyDescent="0.3">
      <c r="A96" s="5" t="s">
        <v>261</v>
      </c>
      <c r="B96" s="8">
        <v>1</v>
      </c>
      <c r="C96" s="5" t="s">
        <v>395</v>
      </c>
      <c r="D96" s="5" t="s">
        <v>404</v>
      </c>
      <c r="E96" s="8">
        <v>1</v>
      </c>
      <c r="F96" s="7">
        <v>150</v>
      </c>
      <c r="G96" s="7">
        <f t="shared" si="1"/>
        <v>150</v>
      </c>
    </row>
    <row r="97" spans="1:7" x14ac:dyDescent="0.3">
      <c r="A97" s="5" t="s">
        <v>262</v>
      </c>
      <c r="B97" s="8">
        <v>1</v>
      </c>
      <c r="C97" s="5" t="s">
        <v>398</v>
      </c>
      <c r="D97" s="5" t="s">
        <v>419</v>
      </c>
      <c r="E97" s="8">
        <v>1</v>
      </c>
      <c r="F97" s="7">
        <v>180</v>
      </c>
      <c r="G97" s="7">
        <f t="shared" si="1"/>
        <v>180</v>
      </c>
    </row>
    <row r="98" spans="1:7" x14ac:dyDescent="0.3">
      <c r="A98" s="5" t="s">
        <v>262</v>
      </c>
      <c r="B98" s="8">
        <v>2</v>
      </c>
      <c r="C98" s="5" t="s">
        <v>382</v>
      </c>
      <c r="D98" s="5" t="s">
        <v>414</v>
      </c>
      <c r="E98" s="8">
        <v>1</v>
      </c>
      <c r="F98" s="7">
        <v>180</v>
      </c>
      <c r="G98" s="7">
        <f t="shared" si="1"/>
        <v>180</v>
      </c>
    </row>
    <row r="99" spans="1:7" x14ac:dyDescent="0.3">
      <c r="A99" s="5" t="s">
        <v>263</v>
      </c>
      <c r="B99" s="8">
        <v>1</v>
      </c>
      <c r="C99" s="5" t="s">
        <v>382</v>
      </c>
      <c r="D99" s="5" t="s">
        <v>418</v>
      </c>
      <c r="E99" s="8">
        <v>1</v>
      </c>
      <c r="F99" s="7">
        <v>180</v>
      </c>
      <c r="G99" s="7">
        <f t="shared" si="1"/>
        <v>180</v>
      </c>
    </row>
    <row r="100" spans="1:7" x14ac:dyDescent="0.3">
      <c r="A100" s="5" t="s">
        <v>263</v>
      </c>
      <c r="B100" s="8">
        <v>2</v>
      </c>
      <c r="C100" s="5" t="s">
        <v>412</v>
      </c>
      <c r="D100" s="5" t="s">
        <v>417</v>
      </c>
      <c r="E100" s="8">
        <v>1</v>
      </c>
      <c r="F100" s="7">
        <v>180</v>
      </c>
      <c r="G100" s="7">
        <f t="shared" si="1"/>
        <v>180</v>
      </c>
    </row>
    <row r="101" spans="1:7" x14ac:dyDescent="0.3">
      <c r="A101" s="5" t="s">
        <v>264</v>
      </c>
      <c r="B101" s="8">
        <v>1</v>
      </c>
      <c r="C101" s="5" t="s">
        <v>382</v>
      </c>
      <c r="D101" s="5" t="s">
        <v>424</v>
      </c>
      <c r="E101" s="8">
        <v>1</v>
      </c>
      <c r="F101" s="7">
        <v>150</v>
      </c>
      <c r="G101" s="7">
        <f t="shared" si="1"/>
        <v>150</v>
      </c>
    </row>
    <row r="102" spans="1:7" x14ac:dyDescent="0.3">
      <c r="A102" s="5" t="s">
        <v>264</v>
      </c>
      <c r="B102" s="8">
        <v>2</v>
      </c>
      <c r="C102" s="5" t="s">
        <v>384</v>
      </c>
      <c r="D102" s="5" t="s">
        <v>425</v>
      </c>
      <c r="E102" s="8">
        <v>1</v>
      </c>
      <c r="F102" s="7">
        <v>150</v>
      </c>
      <c r="G102" s="7">
        <f t="shared" si="1"/>
        <v>150</v>
      </c>
    </row>
    <row r="103" spans="1:7" x14ac:dyDescent="0.3">
      <c r="A103" s="5" t="s">
        <v>265</v>
      </c>
      <c r="B103" s="8">
        <v>1</v>
      </c>
      <c r="C103" s="5" t="s">
        <v>384</v>
      </c>
      <c r="D103" s="5" t="s">
        <v>426</v>
      </c>
      <c r="E103" s="8">
        <v>1</v>
      </c>
      <c r="F103" s="7">
        <v>180</v>
      </c>
      <c r="G103" s="7">
        <f t="shared" si="1"/>
        <v>180</v>
      </c>
    </row>
    <row r="104" spans="1:7" x14ac:dyDescent="0.3">
      <c r="A104" s="5" t="s">
        <v>266</v>
      </c>
      <c r="B104" s="8">
        <v>1</v>
      </c>
      <c r="C104" s="5" t="s">
        <v>384</v>
      </c>
      <c r="D104" s="5" t="s">
        <v>425</v>
      </c>
      <c r="E104" s="8">
        <v>1</v>
      </c>
      <c r="F104" s="7">
        <v>150</v>
      </c>
      <c r="G104" s="7">
        <f t="shared" si="1"/>
        <v>150</v>
      </c>
    </row>
    <row r="105" spans="1:7" x14ac:dyDescent="0.3">
      <c r="A105" s="5" t="s">
        <v>266</v>
      </c>
      <c r="B105" s="8">
        <v>2</v>
      </c>
      <c r="C105" s="5" t="s">
        <v>387</v>
      </c>
      <c r="D105" s="5" t="s">
        <v>427</v>
      </c>
      <c r="E105" s="8">
        <v>1</v>
      </c>
      <c r="F105" s="7">
        <v>150</v>
      </c>
      <c r="G105" s="7">
        <f t="shared" si="1"/>
        <v>150</v>
      </c>
    </row>
    <row r="106" spans="1:7" x14ac:dyDescent="0.3">
      <c r="A106" s="5" t="s">
        <v>267</v>
      </c>
      <c r="B106" s="8">
        <v>1</v>
      </c>
      <c r="C106" s="5" t="s">
        <v>384</v>
      </c>
      <c r="D106" s="5" t="s">
        <v>426</v>
      </c>
      <c r="E106" s="8">
        <v>1</v>
      </c>
      <c r="F106" s="7">
        <v>180</v>
      </c>
      <c r="G106" s="7">
        <f t="shared" si="1"/>
        <v>180</v>
      </c>
    </row>
    <row r="107" spans="1:7" x14ac:dyDescent="0.3">
      <c r="A107" s="5" t="s">
        <v>268</v>
      </c>
      <c r="B107" s="8">
        <v>1</v>
      </c>
      <c r="C107" s="5" t="s">
        <v>382</v>
      </c>
      <c r="D107" s="5" t="s">
        <v>428</v>
      </c>
      <c r="E107" s="8">
        <v>1</v>
      </c>
      <c r="F107" s="7">
        <v>120</v>
      </c>
      <c r="G107" s="7">
        <f t="shared" si="1"/>
        <v>120</v>
      </c>
    </row>
    <row r="108" spans="1:7" x14ac:dyDescent="0.3">
      <c r="A108" s="5" t="s">
        <v>268</v>
      </c>
      <c r="B108" s="8">
        <v>2</v>
      </c>
      <c r="C108" s="5" t="s">
        <v>390</v>
      </c>
      <c r="D108" s="5" t="s">
        <v>429</v>
      </c>
      <c r="E108" s="8">
        <v>1</v>
      </c>
      <c r="F108" s="7">
        <v>120</v>
      </c>
      <c r="G108" s="7">
        <f t="shared" si="1"/>
        <v>120</v>
      </c>
    </row>
    <row r="109" spans="1:7" x14ac:dyDescent="0.3">
      <c r="A109" s="5" t="s">
        <v>269</v>
      </c>
      <c r="B109" s="8">
        <v>1</v>
      </c>
      <c r="C109" s="5" t="s">
        <v>382</v>
      </c>
      <c r="D109" s="5" t="s">
        <v>430</v>
      </c>
      <c r="E109" s="8">
        <v>1</v>
      </c>
      <c r="F109" s="7">
        <v>150</v>
      </c>
      <c r="G109" s="7">
        <f t="shared" si="1"/>
        <v>150</v>
      </c>
    </row>
    <row r="110" spans="1:7" x14ac:dyDescent="0.3">
      <c r="A110" s="5" t="s">
        <v>270</v>
      </c>
      <c r="B110" s="8">
        <v>1</v>
      </c>
      <c r="C110" s="5" t="s">
        <v>390</v>
      </c>
      <c r="D110" s="5" t="s">
        <v>431</v>
      </c>
      <c r="E110" s="8">
        <v>1</v>
      </c>
      <c r="F110" s="7">
        <v>120</v>
      </c>
      <c r="G110" s="7">
        <f t="shared" si="1"/>
        <v>120</v>
      </c>
    </row>
    <row r="111" spans="1:7" x14ac:dyDescent="0.3">
      <c r="A111" s="5" t="s">
        <v>271</v>
      </c>
      <c r="B111" s="8">
        <v>1</v>
      </c>
      <c r="C111" s="5" t="s">
        <v>387</v>
      </c>
      <c r="D111" s="5" t="s">
        <v>432</v>
      </c>
      <c r="E111" s="8">
        <v>1</v>
      </c>
      <c r="F111" s="7">
        <v>120</v>
      </c>
      <c r="G111" s="7">
        <f t="shared" si="1"/>
        <v>120</v>
      </c>
    </row>
    <row r="112" spans="1:7" x14ac:dyDescent="0.3">
      <c r="A112" s="5" t="s">
        <v>271</v>
      </c>
      <c r="B112" s="8">
        <v>2</v>
      </c>
      <c r="C112" s="5" t="s">
        <v>390</v>
      </c>
      <c r="D112" s="5" t="s">
        <v>431</v>
      </c>
      <c r="E112" s="8">
        <v>1</v>
      </c>
      <c r="F112" s="7">
        <v>120</v>
      </c>
      <c r="G112" s="7">
        <f t="shared" si="1"/>
        <v>120</v>
      </c>
    </row>
    <row r="113" spans="1:7" x14ac:dyDescent="0.3">
      <c r="A113" s="5" t="s">
        <v>272</v>
      </c>
      <c r="B113" s="8">
        <v>1</v>
      </c>
      <c r="C113" s="5" t="s">
        <v>395</v>
      </c>
      <c r="D113" s="5" t="s">
        <v>433</v>
      </c>
      <c r="E113" s="8">
        <v>1</v>
      </c>
      <c r="F113" s="7">
        <v>120</v>
      </c>
      <c r="G113" s="7">
        <f t="shared" si="1"/>
        <v>120</v>
      </c>
    </row>
    <row r="114" spans="1:7" x14ac:dyDescent="0.3">
      <c r="A114" s="5" t="s">
        <v>272</v>
      </c>
      <c r="B114" s="8">
        <v>2</v>
      </c>
      <c r="C114" s="5" t="s">
        <v>390</v>
      </c>
      <c r="D114" s="5" t="s">
        <v>431</v>
      </c>
      <c r="E114" s="8">
        <v>1</v>
      </c>
      <c r="F114" s="7">
        <v>120</v>
      </c>
      <c r="G114" s="7">
        <f t="shared" si="1"/>
        <v>120</v>
      </c>
    </row>
    <row r="115" spans="1:7" x14ac:dyDescent="0.3">
      <c r="A115" s="5" t="s">
        <v>272</v>
      </c>
      <c r="B115" s="8">
        <v>3</v>
      </c>
      <c r="C115" s="5" t="s">
        <v>387</v>
      </c>
      <c r="D115" s="5" t="s">
        <v>432</v>
      </c>
      <c r="E115" s="8">
        <v>1</v>
      </c>
      <c r="F115" s="7">
        <v>120</v>
      </c>
      <c r="G115" s="7">
        <f t="shared" si="1"/>
        <v>120</v>
      </c>
    </row>
    <row r="116" spans="1:7" x14ac:dyDescent="0.3">
      <c r="A116" s="5" t="s">
        <v>273</v>
      </c>
      <c r="B116" s="8">
        <v>1</v>
      </c>
      <c r="C116" s="5" t="s">
        <v>395</v>
      </c>
      <c r="D116" s="5" t="s">
        <v>434</v>
      </c>
      <c r="E116" s="8">
        <v>1</v>
      </c>
      <c r="F116" s="7">
        <v>150</v>
      </c>
      <c r="G116" s="7">
        <f t="shared" si="1"/>
        <v>150</v>
      </c>
    </row>
    <row r="117" spans="1:7" x14ac:dyDescent="0.3">
      <c r="A117" s="5" t="s">
        <v>274</v>
      </c>
      <c r="B117" s="8">
        <v>1</v>
      </c>
      <c r="C117" s="5" t="s">
        <v>398</v>
      </c>
      <c r="D117" s="5" t="s">
        <v>435</v>
      </c>
      <c r="E117" s="8">
        <v>1</v>
      </c>
      <c r="F117" s="7">
        <v>180</v>
      </c>
      <c r="G117" s="7">
        <f t="shared" si="1"/>
        <v>180</v>
      </c>
    </row>
    <row r="118" spans="1:7" x14ac:dyDescent="0.3">
      <c r="A118" s="5" t="s">
        <v>274</v>
      </c>
      <c r="B118" s="8">
        <v>2</v>
      </c>
      <c r="C118" s="5" t="s">
        <v>400</v>
      </c>
      <c r="D118" s="5" t="s">
        <v>436</v>
      </c>
      <c r="E118" s="8">
        <v>1</v>
      </c>
      <c r="F118" s="7">
        <v>180</v>
      </c>
      <c r="G118" s="7">
        <f t="shared" si="1"/>
        <v>180</v>
      </c>
    </row>
    <row r="119" spans="1:7" x14ac:dyDescent="0.3">
      <c r="A119" s="5" t="s">
        <v>274</v>
      </c>
      <c r="B119" s="8">
        <v>3</v>
      </c>
      <c r="C119" s="5" t="s">
        <v>384</v>
      </c>
      <c r="D119" s="5" t="s">
        <v>426</v>
      </c>
      <c r="E119" s="8">
        <v>1</v>
      </c>
      <c r="F119" s="7">
        <v>180</v>
      </c>
      <c r="G119" s="7">
        <f t="shared" si="1"/>
        <v>180</v>
      </c>
    </row>
    <row r="120" spans="1:7" x14ac:dyDescent="0.3">
      <c r="A120" s="5" t="s">
        <v>275</v>
      </c>
      <c r="B120" s="8">
        <v>1</v>
      </c>
      <c r="C120" s="5" t="s">
        <v>437</v>
      </c>
      <c r="D120" s="5" t="s">
        <v>438</v>
      </c>
      <c r="E120" s="8">
        <v>1</v>
      </c>
      <c r="F120" s="7">
        <v>50</v>
      </c>
      <c r="G120" s="7">
        <f t="shared" si="1"/>
        <v>50</v>
      </c>
    </row>
    <row r="121" spans="1:7" x14ac:dyDescent="0.3">
      <c r="A121" s="5" t="s">
        <v>275</v>
      </c>
      <c r="B121" s="8">
        <v>2</v>
      </c>
      <c r="C121" s="5" t="s">
        <v>384</v>
      </c>
      <c r="D121" s="5" t="s">
        <v>439</v>
      </c>
      <c r="E121" s="8">
        <v>1</v>
      </c>
      <c r="F121" s="7">
        <v>120</v>
      </c>
      <c r="G121" s="7">
        <f t="shared" si="1"/>
        <v>120</v>
      </c>
    </row>
    <row r="122" spans="1:7" x14ac:dyDescent="0.3">
      <c r="A122" s="5" t="s">
        <v>275</v>
      </c>
      <c r="B122" s="8">
        <v>3</v>
      </c>
      <c r="C122" s="5" t="s">
        <v>395</v>
      </c>
      <c r="D122" s="5" t="s">
        <v>433</v>
      </c>
      <c r="E122" s="8">
        <v>1</v>
      </c>
      <c r="F122" s="7">
        <v>120</v>
      </c>
      <c r="G122" s="7">
        <f t="shared" si="1"/>
        <v>120</v>
      </c>
    </row>
    <row r="123" spans="1:7" x14ac:dyDescent="0.3">
      <c r="A123" s="5" t="s">
        <v>276</v>
      </c>
      <c r="B123" s="8">
        <v>1</v>
      </c>
      <c r="C123" s="5" t="s">
        <v>390</v>
      </c>
      <c r="D123" s="5" t="s">
        <v>431</v>
      </c>
      <c r="E123" s="8">
        <v>1</v>
      </c>
      <c r="F123" s="7">
        <v>120</v>
      </c>
      <c r="G123" s="7">
        <f t="shared" si="1"/>
        <v>120</v>
      </c>
    </row>
    <row r="124" spans="1:7" x14ac:dyDescent="0.3">
      <c r="A124" s="5" t="s">
        <v>276</v>
      </c>
      <c r="B124" s="8">
        <v>2</v>
      </c>
      <c r="C124" s="5" t="s">
        <v>382</v>
      </c>
      <c r="D124" s="5" t="s">
        <v>440</v>
      </c>
      <c r="E124" s="8">
        <v>1</v>
      </c>
      <c r="F124" s="7">
        <v>120</v>
      </c>
      <c r="G124" s="7">
        <f t="shared" si="1"/>
        <v>120</v>
      </c>
    </row>
    <row r="125" spans="1:7" x14ac:dyDescent="0.3">
      <c r="A125" s="5" t="s">
        <v>276</v>
      </c>
      <c r="B125" s="8">
        <v>3</v>
      </c>
      <c r="C125" s="5" t="s">
        <v>395</v>
      </c>
      <c r="D125" s="5" t="s">
        <v>433</v>
      </c>
      <c r="E125" s="8">
        <v>1</v>
      </c>
      <c r="F125" s="7">
        <v>120</v>
      </c>
      <c r="G125" s="7">
        <f t="shared" si="1"/>
        <v>120</v>
      </c>
    </row>
    <row r="126" spans="1:7" x14ac:dyDescent="0.3">
      <c r="A126" s="5" t="s">
        <v>277</v>
      </c>
      <c r="B126" s="8">
        <v>1</v>
      </c>
      <c r="C126" s="5" t="s">
        <v>384</v>
      </c>
      <c r="D126" s="5" t="s">
        <v>441</v>
      </c>
      <c r="E126" s="8">
        <v>1</v>
      </c>
      <c r="F126" s="7">
        <v>150</v>
      </c>
      <c r="G126" s="7">
        <f t="shared" si="1"/>
        <v>150</v>
      </c>
    </row>
    <row r="127" spans="1:7" x14ac:dyDescent="0.3">
      <c r="A127" s="5" t="s">
        <v>277</v>
      </c>
      <c r="B127" s="8">
        <v>2</v>
      </c>
      <c r="C127" s="5" t="s">
        <v>395</v>
      </c>
      <c r="D127" s="5" t="s">
        <v>442</v>
      </c>
      <c r="E127" s="8">
        <v>1</v>
      </c>
      <c r="F127" s="7">
        <v>150</v>
      </c>
      <c r="G127" s="7">
        <f t="shared" si="1"/>
        <v>150</v>
      </c>
    </row>
    <row r="128" spans="1:7" x14ac:dyDescent="0.3">
      <c r="A128" s="5" t="s">
        <v>278</v>
      </c>
      <c r="B128" s="8">
        <v>1</v>
      </c>
      <c r="C128" s="5" t="s">
        <v>382</v>
      </c>
      <c r="D128" s="5" t="s">
        <v>430</v>
      </c>
      <c r="E128" s="8">
        <v>1</v>
      </c>
      <c r="F128" s="7">
        <v>150</v>
      </c>
      <c r="G128" s="7">
        <f t="shared" si="1"/>
        <v>150</v>
      </c>
    </row>
    <row r="129" spans="1:7" x14ac:dyDescent="0.3">
      <c r="A129" s="5" t="s">
        <v>278</v>
      </c>
      <c r="B129" s="8">
        <v>2</v>
      </c>
      <c r="C129" s="5" t="s">
        <v>384</v>
      </c>
      <c r="D129" s="5" t="s">
        <v>443</v>
      </c>
      <c r="E129" s="8">
        <v>1</v>
      </c>
      <c r="F129" s="7">
        <v>150</v>
      </c>
      <c r="G129" s="7">
        <f t="shared" si="1"/>
        <v>150</v>
      </c>
    </row>
    <row r="130" spans="1:7" x14ac:dyDescent="0.3">
      <c r="A130" s="5" t="s">
        <v>279</v>
      </c>
      <c r="B130" s="8">
        <v>1</v>
      </c>
      <c r="C130" s="5" t="s">
        <v>387</v>
      </c>
      <c r="D130" s="5" t="s">
        <v>444</v>
      </c>
      <c r="E130" s="8">
        <v>1</v>
      </c>
      <c r="F130" s="7">
        <v>120</v>
      </c>
      <c r="G130" s="7">
        <f t="shared" ref="G130:G193" si="2">E130*F130</f>
        <v>120</v>
      </c>
    </row>
    <row r="131" spans="1:7" x14ac:dyDescent="0.3">
      <c r="A131" s="5" t="s">
        <v>279</v>
      </c>
      <c r="B131" s="8">
        <v>2</v>
      </c>
      <c r="C131" s="5" t="s">
        <v>390</v>
      </c>
      <c r="D131" s="5" t="s">
        <v>445</v>
      </c>
      <c r="E131" s="8">
        <v>1</v>
      </c>
      <c r="F131" s="7">
        <v>120</v>
      </c>
      <c r="G131" s="7">
        <f t="shared" si="2"/>
        <v>120</v>
      </c>
    </row>
    <row r="132" spans="1:7" x14ac:dyDescent="0.3">
      <c r="A132" s="5" t="s">
        <v>279</v>
      </c>
      <c r="B132" s="8">
        <v>3</v>
      </c>
      <c r="C132" s="5" t="s">
        <v>382</v>
      </c>
      <c r="D132" s="5" t="s">
        <v>446</v>
      </c>
      <c r="E132" s="8">
        <v>1</v>
      </c>
      <c r="F132" s="7">
        <v>120</v>
      </c>
      <c r="G132" s="7">
        <f t="shared" si="2"/>
        <v>120</v>
      </c>
    </row>
    <row r="133" spans="1:7" x14ac:dyDescent="0.3">
      <c r="A133" s="5" t="s">
        <v>280</v>
      </c>
      <c r="B133" s="8">
        <v>1</v>
      </c>
      <c r="C133" s="5" t="s">
        <v>384</v>
      </c>
      <c r="D133" s="5" t="s">
        <v>447</v>
      </c>
      <c r="E133" s="8">
        <v>1</v>
      </c>
      <c r="F133" s="7">
        <v>120</v>
      </c>
      <c r="G133" s="7">
        <f t="shared" si="2"/>
        <v>120</v>
      </c>
    </row>
    <row r="134" spans="1:7" x14ac:dyDescent="0.3">
      <c r="A134" s="5" t="s">
        <v>280</v>
      </c>
      <c r="B134" s="8">
        <v>2</v>
      </c>
      <c r="C134" s="5" t="s">
        <v>390</v>
      </c>
      <c r="D134" s="5" t="s">
        <v>429</v>
      </c>
      <c r="E134" s="8">
        <v>1</v>
      </c>
      <c r="F134" s="7">
        <v>120</v>
      </c>
      <c r="G134" s="7">
        <f t="shared" si="2"/>
        <v>120</v>
      </c>
    </row>
    <row r="135" spans="1:7" x14ac:dyDescent="0.3">
      <c r="A135" s="5" t="s">
        <v>281</v>
      </c>
      <c r="B135" s="8">
        <v>1</v>
      </c>
      <c r="C135" s="5" t="s">
        <v>387</v>
      </c>
      <c r="D135" s="5" t="s">
        <v>448</v>
      </c>
      <c r="E135" s="8">
        <v>1</v>
      </c>
      <c r="F135" s="7">
        <v>120</v>
      </c>
      <c r="G135" s="7">
        <f t="shared" si="2"/>
        <v>120</v>
      </c>
    </row>
    <row r="136" spans="1:7" x14ac:dyDescent="0.3">
      <c r="A136" s="5" t="s">
        <v>281</v>
      </c>
      <c r="B136" s="8">
        <v>2</v>
      </c>
      <c r="C136" s="5" t="s">
        <v>382</v>
      </c>
      <c r="D136" s="5" t="s">
        <v>428</v>
      </c>
      <c r="E136" s="8">
        <v>1</v>
      </c>
      <c r="F136" s="7">
        <v>120</v>
      </c>
      <c r="G136" s="7">
        <f t="shared" si="2"/>
        <v>120</v>
      </c>
    </row>
    <row r="137" spans="1:7" x14ac:dyDescent="0.3">
      <c r="A137" s="5" t="s">
        <v>281</v>
      </c>
      <c r="B137" s="8">
        <v>3</v>
      </c>
      <c r="C137" s="5" t="s">
        <v>390</v>
      </c>
      <c r="D137" s="5" t="s">
        <v>429</v>
      </c>
      <c r="E137" s="8">
        <v>1</v>
      </c>
      <c r="F137" s="7">
        <v>120</v>
      </c>
      <c r="G137" s="7">
        <f t="shared" si="2"/>
        <v>120</v>
      </c>
    </row>
    <row r="138" spans="1:7" x14ac:dyDescent="0.3">
      <c r="A138" s="5" t="s">
        <v>282</v>
      </c>
      <c r="B138" s="8">
        <v>1</v>
      </c>
      <c r="C138" s="5" t="s">
        <v>437</v>
      </c>
      <c r="D138" s="5" t="s">
        <v>438</v>
      </c>
      <c r="E138" s="8">
        <v>1</v>
      </c>
      <c r="F138" s="7">
        <v>50</v>
      </c>
      <c r="G138" s="7">
        <f t="shared" si="2"/>
        <v>50</v>
      </c>
    </row>
    <row r="139" spans="1:7" x14ac:dyDescent="0.3">
      <c r="A139" s="5" t="s">
        <v>282</v>
      </c>
      <c r="B139" s="8">
        <v>2</v>
      </c>
      <c r="C139" s="5" t="s">
        <v>382</v>
      </c>
      <c r="D139" s="5" t="s">
        <v>449</v>
      </c>
      <c r="E139" s="8">
        <v>1</v>
      </c>
      <c r="F139" s="7">
        <v>180</v>
      </c>
      <c r="G139" s="7">
        <f t="shared" si="2"/>
        <v>180</v>
      </c>
    </row>
    <row r="140" spans="1:7" x14ac:dyDescent="0.3">
      <c r="A140" s="5" t="s">
        <v>283</v>
      </c>
      <c r="B140" s="8">
        <v>1</v>
      </c>
      <c r="C140" s="5" t="s">
        <v>384</v>
      </c>
      <c r="D140" s="5" t="s">
        <v>450</v>
      </c>
      <c r="E140" s="8">
        <v>1</v>
      </c>
      <c r="F140" s="7">
        <v>180</v>
      </c>
      <c r="G140" s="7">
        <f t="shared" si="2"/>
        <v>180</v>
      </c>
    </row>
    <row r="141" spans="1:7" x14ac:dyDescent="0.3">
      <c r="A141" s="5" t="s">
        <v>283</v>
      </c>
      <c r="B141" s="8">
        <v>2</v>
      </c>
      <c r="C141" s="5" t="s">
        <v>412</v>
      </c>
      <c r="D141" s="5" t="s">
        <v>451</v>
      </c>
      <c r="E141" s="8">
        <v>1</v>
      </c>
      <c r="F141" s="7">
        <v>180</v>
      </c>
      <c r="G141" s="7">
        <f t="shared" si="2"/>
        <v>180</v>
      </c>
    </row>
    <row r="142" spans="1:7" x14ac:dyDescent="0.3">
      <c r="A142" s="5" t="s">
        <v>283</v>
      </c>
      <c r="B142" s="8">
        <v>3</v>
      </c>
      <c r="C142" s="5" t="s">
        <v>382</v>
      </c>
      <c r="D142" s="5" t="s">
        <v>449</v>
      </c>
      <c r="E142" s="8">
        <v>1</v>
      </c>
      <c r="F142" s="7">
        <v>180</v>
      </c>
      <c r="G142" s="7">
        <f t="shared" si="2"/>
        <v>180</v>
      </c>
    </row>
    <row r="143" spans="1:7" x14ac:dyDescent="0.3">
      <c r="A143" s="5" t="s">
        <v>284</v>
      </c>
      <c r="B143" s="8">
        <v>1</v>
      </c>
      <c r="C143" s="5" t="s">
        <v>395</v>
      </c>
      <c r="D143" s="5" t="s">
        <v>433</v>
      </c>
      <c r="E143" s="8">
        <v>1</v>
      </c>
      <c r="F143" s="7">
        <v>120</v>
      </c>
      <c r="G143" s="7">
        <f t="shared" si="2"/>
        <v>120</v>
      </c>
    </row>
    <row r="144" spans="1:7" x14ac:dyDescent="0.3">
      <c r="A144" s="5" t="s">
        <v>284</v>
      </c>
      <c r="B144" s="8">
        <v>2</v>
      </c>
      <c r="C144" s="5" t="s">
        <v>382</v>
      </c>
      <c r="D144" s="5" t="s">
        <v>440</v>
      </c>
      <c r="E144" s="8">
        <v>1</v>
      </c>
      <c r="F144" s="7">
        <v>120</v>
      </c>
      <c r="G144" s="7">
        <f t="shared" si="2"/>
        <v>120</v>
      </c>
    </row>
    <row r="145" spans="1:7" x14ac:dyDescent="0.3">
      <c r="A145" s="5" t="s">
        <v>284</v>
      </c>
      <c r="B145" s="8">
        <v>3</v>
      </c>
      <c r="C145" s="5" t="s">
        <v>384</v>
      </c>
      <c r="D145" s="5" t="s">
        <v>439</v>
      </c>
      <c r="E145" s="8">
        <v>1</v>
      </c>
      <c r="F145" s="7">
        <v>120</v>
      </c>
      <c r="G145" s="7">
        <f t="shared" si="2"/>
        <v>120</v>
      </c>
    </row>
    <row r="146" spans="1:7" x14ac:dyDescent="0.3">
      <c r="A146" s="5" t="s">
        <v>285</v>
      </c>
      <c r="B146" s="8">
        <v>1</v>
      </c>
      <c r="C146" s="5" t="s">
        <v>382</v>
      </c>
      <c r="D146" s="5" t="s">
        <v>440</v>
      </c>
      <c r="E146" s="8">
        <v>1</v>
      </c>
      <c r="F146" s="7">
        <v>120</v>
      </c>
      <c r="G146" s="7">
        <f t="shared" si="2"/>
        <v>120</v>
      </c>
    </row>
    <row r="147" spans="1:7" x14ac:dyDescent="0.3">
      <c r="A147" s="5" t="s">
        <v>285</v>
      </c>
      <c r="B147" s="8">
        <v>2</v>
      </c>
      <c r="C147" s="5" t="s">
        <v>395</v>
      </c>
      <c r="D147" s="5" t="s">
        <v>433</v>
      </c>
      <c r="E147" s="8">
        <v>1</v>
      </c>
      <c r="F147" s="7">
        <v>120</v>
      </c>
      <c r="G147" s="7">
        <f t="shared" si="2"/>
        <v>120</v>
      </c>
    </row>
    <row r="148" spans="1:7" x14ac:dyDescent="0.3">
      <c r="A148" s="5" t="s">
        <v>286</v>
      </c>
      <c r="B148" s="8">
        <v>1</v>
      </c>
      <c r="C148" s="5" t="s">
        <v>387</v>
      </c>
      <c r="D148" s="5" t="s">
        <v>452</v>
      </c>
      <c r="E148" s="8">
        <v>1</v>
      </c>
      <c r="F148" s="7">
        <v>150</v>
      </c>
      <c r="G148" s="7">
        <f t="shared" si="2"/>
        <v>150</v>
      </c>
    </row>
    <row r="149" spans="1:7" x14ac:dyDescent="0.3">
      <c r="A149" s="5" t="s">
        <v>287</v>
      </c>
      <c r="B149" s="8">
        <v>1</v>
      </c>
      <c r="C149" s="5" t="s">
        <v>390</v>
      </c>
      <c r="D149" s="5" t="s">
        <v>429</v>
      </c>
      <c r="E149" s="8">
        <v>1</v>
      </c>
      <c r="F149" s="7">
        <v>120</v>
      </c>
      <c r="G149" s="7">
        <f t="shared" si="2"/>
        <v>120</v>
      </c>
    </row>
    <row r="150" spans="1:7" x14ac:dyDescent="0.3">
      <c r="A150" s="5" t="s">
        <v>288</v>
      </c>
      <c r="B150" s="8">
        <v>1</v>
      </c>
      <c r="C150" s="5" t="s">
        <v>412</v>
      </c>
      <c r="D150" s="5" t="s">
        <v>453</v>
      </c>
      <c r="E150" s="8">
        <v>1</v>
      </c>
      <c r="F150" s="7">
        <v>180</v>
      </c>
      <c r="G150" s="7">
        <f t="shared" si="2"/>
        <v>180</v>
      </c>
    </row>
    <row r="151" spans="1:7" x14ac:dyDescent="0.3">
      <c r="A151" s="5" t="s">
        <v>289</v>
      </c>
      <c r="B151" s="8">
        <v>1</v>
      </c>
      <c r="C151" s="5" t="s">
        <v>400</v>
      </c>
      <c r="D151" s="5" t="s">
        <v>436</v>
      </c>
      <c r="E151" s="8">
        <v>1</v>
      </c>
      <c r="F151" s="7">
        <v>180</v>
      </c>
      <c r="G151" s="7">
        <f t="shared" si="2"/>
        <v>180</v>
      </c>
    </row>
    <row r="152" spans="1:7" x14ac:dyDescent="0.3">
      <c r="A152" s="5" t="s">
        <v>289</v>
      </c>
      <c r="B152" s="8">
        <v>2</v>
      </c>
      <c r="C152" s="5" t="s">
        <v>382</v>
      </c>
      <c r="D152" s="5" t="s">
        <v>454</v>
      </c>
      <c r="E152" s="8">
        <v>1</v>
      </c>
      <c r="F152" s="7">
        <v>180</v>
      </c>
      <c r="G152" s="7">
        <f t="shared" si="2"/>
        <v>180</v>
      </c>
    </row>
    <row r="153" spans="1:7" x14ac:dyDescent="0.3">
      <c r="A153" s="5" t="s">
        <v>290</v>
      </c>
      <c r="B153" s="8">
        <v>1</v>
      </c>
      <c r="C153" s="5" t="s">
        <v>412</v>
      </c>
      <c r="D153" s="5" t="s">
        <v>451</v>
      </c>
      <c r="E153" s="8">
        <v>1</v>
      </c>
      <c r="F153" s="7">
        <v>180</v>
      </c>
      <c r="G153" s="7">
        <f t="shared" si="2"/>
        <v>180</v>
      </c>
    </row>
    <row r="154" spans="1:7" x14ac:dyDescent="0.3">
      <c r="A154" s="5" t="s">
        <v>290</v>
      </c>
      <c r="B154" s="8">
        <v>2</v>
      </c>
      <c r="C154" s="5" t="s">
        <v>382</v>
      </c>
      <c r="D154" s="5" t="s">
        <v>449</v>
      </c>
      <c r="E154" s="8">
        <v>1</v>
      </c>
      <c r="F154" s="7">
        <v>180</v>
      </c>
      <c r="G154" s="7">
        <f t="shared" si="2"/>
        <v>180</v>
      </c>
    </row>
    <row r="155" spans="1:7" x14ac:dyDescent="0.3">
      <c r="A155" s="5" t="s">
        <v>290</v>
      </c>
      <c r="B155" s="8">
        <v>3</v>
      </c>
      <c r="C155" s="5" t="s">
        <v>398</v>
      </c>
      <c r="D155" s="5" t="s">
        <v>455</v>
      </c>
      <c r="E155" s="8">
        <v>1</v>
      </c>
      <c r="F155" s="7">
        <v>180</v>
      </c>
      <c r="G155" s="7">
        <f t="shared" si="2"/>
        <v>180</v>
      </c>
    </row>
    <row r="156" spans="1:7" x14ac:dyDescent="0.3">
      <c r="A156" s="5" t="s">
        <v>291</v>
      </c>
      <c r="B156" s="8">
        <v>1</v>
      </c>
      <c r="C156" s="5" t="s">
        <v>398</v>
      </c>
      <c r="D156" s="5" t="s">
        <v>435</v>
      </c>
      <c r="E156" s="8">
        <v>1</v>
      </c>
      <c r="F156" s="7">
        <v>180</v>
      </c>
      <c r="G156" s="7">
        <f t="shared" si="2"/>
        <v>180</v>
      </c>
    </row>
    <row r="157" spans="1:7" x14ac:dyDescent="0.3">
      <c r="A157" s="5" t="s">
        <v>291</v>
      </c>
      <c r="B157" s="8">
        <v>2</v>
      </c>
      <c r="C157" s="5" t="s">
        <v>384</v>
      </c>
      <c r="D157" s="5" t="s">
        <v>426</v>
      </c>
      <c r="E157" s="8">
        <v>1</v>
      </c>
      <c r="F157" s="7">
        <v>180</v>
      </c>
      <c r="G157" s="7">
        <f t="shared" si="2"/>
        <v>180</v>
      </c>
    </row>
    <row r="158" spans="1:7" x14ac:dyDescent="0.3">
      <c r="A158" s="5" t="s">
        <v>291</v>
      </c>
      <c r="B158" s="8">
        <v>3</v>
      </c>
      <c r="C158" s="5" t="s">
        <v>412</v>
      </c>
      <c r="D158" s="5" t="s">
        <v>453</v>
      </c>
      <c r="E158" s="8">
        <v>1</v>
      </c>
      <c r="F158" s="7">
        <v>180</v>
      </c>
      <c r="G158" s="7">
        <f t="shared" si="2"/>
        <v>180</v>
      </c>
    </row>
    <row r="159" spans="1:7" x14ac:dyDescent="0.3">
      <c r="A159" s="5" t="s">
        <v>292</v>
      </c>
      <c r="B159" s="8">
        <v>1</v>
      </c>
      <c r="C159" s="5" t="s">
        <v>382</v>
      </c>
      <c r="D159" s="5" t="s">
        <v>446</v>
      </c>
      <c r="E159" s="8">
        <v>1</v>
      </c>
      <c r="F159" s="7">
        <v>120</v>
      </c>
      <c r="G159" s="7">
        <f t="shared" si="2"/>
        <v>120</v>
      </c>
    </row>
    <row r="160" spans="1:7" x14ac:dyDescent="0.3">
      <c r="A160" s="5" t="s">
        <v>292</v>
      </c>
      <c r="B160" s="8">
        <v>2</v>
      </c>
      <c r="C160" s="5" t="s">
        <v>395</v>
      </c>
      <c r="D160" s="5" t="s">
        <v>456</v>
      </c>
      <c r="E160" s="8">
        <v>1</v>
      </c>
      <c r="F160" s="7">
        <v>120</v>
      </c>
      <c r="G160" s="7">
        <f t="shared" si="2"/>
        <v>120</v>
      </c>
    </row>
    <row r="161" spans="1:7" x14ac:dyDescent="0.3">
      <c r="A161" s="5" t="s">
        <v>293</v>
      </c>
      <c r="B161" s="8">
        <v>1</v>
      </c>
      <c r="C161" s="5" t="s">
        <v>382</v>
      </c>
      <c r="D161" s="5" t="s">
        <v>440</v>
      </c>
      <c r="E161" s="8">
        <v>1</v>
      </c>
      <c r="F161" s="7">
        <v>120</v>
      </c>
      <c r="G161" s="7">
        <f t="shared" si="2"/>
        <v>120</v>
      </c>
    </row>
    <row r="162" spans="1:7" x14ac:dyDescent="0.3">
      <c r="A162" s="5" t="s">
        <v>294</v>
      </c>
      <c r="B162" s="8">
        <v>1</v>
      </c>
      <c r="C162" s="5" t="s">
        <v>437</v>
      </c>
      <c r="D162" s="5" t="s">
        <v>438</v>
      </c>
      <c r="E162" s="8">
        <v>1</v>
      </c>
      <c r="F162" s="7">
        <v>50</v>
      </c>
      <c r="G162" s="7">
        <f t="shared" si="2"/>
        <v>50</v>
      </c>
    </row>
    <row r="163" spans="1:7" x14ac:dyDescent="0.3">
      <c r="A163" s="5" t="s">
        <v>294</v>
      </c>
      <c r="B163" s="8">
        <v>2</v>
      </c>
      <c r="C163" s="5" t="s">
        <v>395</v>
      </c>
      <c r="D163" s="5" t="s">
        <v>457</v>
      </c>
      <c r="E163" s="8">
        <v>1</v>
      </c>
      <c r="F163" s="7">
        <v>120</v>
      </c>
      <c r="G163" s="7">
        <f t="shared" si="2"/>
        <v>120</v>
      </c>
    </row>
    <row r="164" spans="1:7" x14ac:dyDescent="0.3">
      <c r="A164" s="5" t="s">
        <v>295</v>
      </c>
      <c r="B164" s="8">
        <v>1</v>
      </c>
      <c r="C164" s="5" t="s">
        <v>395</v>
      </c>
      <c r="D164" s="5" t="s">
        <v>433</v>
      </c>
      <c r="E164" s="8">
        <v>1</v>
      </c>
      <c r="F164" s="7">
        <v>120</v>
      </c>
      <c r="G164" s="7">
        <f t="shared" si="2"/>
        <v>120</v>
      </c>
    </row>
    <row r="165" spans="1:7" x14ac:dyDescent="0.3">
      <c r="A165" s="5" t="s">
        <v>295</v>
      </c>
      <c r="B165" s="8">
        <v>2</v>
      </c>
      <c r="C165" s="5" t="s">
        <v>390</v>
      </c>
      <c r="D165" s="5" t="s">
        <v>431</v>
      </c>
      <c r="E165" s="8">
        <v>1</v>
      </c>
      <c r="F165" s="7">
        <v>120</v>
      </c>
      <c r="G165" s="7">
        <f t="shared" si="2"/>
        <v>120</v>
      </c>
    </row>
    <row r="166" spans="1:7" x14ac:dyDescent="0.3">
      <c r="A166" s="5" t="s">
        <v>295</v>
      </c>
      <c r="B166" s="8">
        <v>3</v>
      </c>
      <c r="C166" s="5" t="s">
        <v>387</v>
      </c>
      <c r="D166" s="5" t="s">
        <v>432</v>
      </c>
      <c r="E166" s="8">
        <v>1</v>
      </c>
      <c r="F166" s="7">
        <v>120</v>
      </c>
      <c r="G166" s="7">
        <f t="shared" si="2"/>
        <v>120</v>
      </c>
    </row>
    <row r="167" spans="1:7" x14ac:dyDescent="0.3">
      <c r="A167" s="5" t="s">
        <v>296</v>
      </c>
      <c r="B167" s="8">
        <v>1</v>
      </c>
      <c r="C167" s="5" t="s">
        <v>437</v>
      </c>
      <c r="D167" s="5" t="s">
        <v>438</v>
      </c>
      <c r="E167" s="8">
        <v>1</v>
      </c>
      <c r="F167" s="7">
        <v>50</v>
      </c>
      <c r="G167" s="7">
        <f t="shared" si="2"/>
        <v>50</v>
      </c>
    </row>
    <row r="168" spans="1:7" x14ac:dyDescent="0.3">
      <c r="A168" s="5" t="s">
        <v>296</v>
      </c>
      <c r="B168" s="8">
        <v>2</v>
      </c>
      <c r="C168" s="5" t="s">
        <v>382</v>
      </c>
      <c r="D168" s="5" t="s">
        <v>454</v>
      </c>
      <c r="E168" s="8">
        <v>1</v>
      </c>
      <c r="F168" s="7">
        <v>180</v>
      </c>
      <c r="G168" s="7">
        <f t="shared" si="2"/>
        <v>180</v>
      </c>
    </row>
    <row r="169" spans="1:7" x14ac:dyDescent="0.3">
      <c r="A169" s="5" t="s">
        <v>296</v>
      </c>
      <c r="B169" s="8">
        <v>3</v>
      </c>
      <c r="C169" s="5" t="s">
        <v>400</v>
      </c>
      <c r="D169" s="5" t="s">
        <v>436</v>
      </c>
      <c r="E169" s="8">
        <v>1</v>
      </c>
      <c r="F169" s="7">
        <v>180</v>
      </c>
      <c r="G169" s="7">
        <f t="shared" si="2"/>
        <v>180</v>
      </c>
    </row>
    <row r="170" spans="1:7" x14ac:dyDescent="0.3">
      <c r="A170" s="5" t="s">
        <v>297</v>
      </c>
      <c r="B170" s="8">
        <v>1</v>
      </c>
      <c r="C170" s="5" t="s">
        <v>387</v>
      </c>
      <c r="D170" s="5" t="s">
        <v>448</v>
      </c>
      <c r="E170" s="8">
        <v>1</v>
      </c>
      <c r="F170" s="7">
        <v>120</v>
      </c>
      <c r="G170" s="7">
        <f t="shared" si="2"/>
        <v>120</v>
      </c>
    </row>
    <row r="171" spans="1:7" x14ac:dyDescent="0.3">
      <c r="A171" s="5" t="s">
        <v>297</v>
      </c>
      <c r="B171" s="8">
        <v>2</v>
      </c>
      <c r="C171" s="5" t="s">
        <v>384</v>
      </c>
      <c r="D171" s="5" t="s">
        <v>447</v>
      </c>
      <c r="E171" s="8">
        <v>1</v>
      </c>
      <c r="F171" s="7">
        <v>120</v>
      </c>
      <c r="G171" s="7">
        <f t="shared" si="2"/>
        <v>120</v>
      </c>
    </row>
    <row r="172" spans="1:7" x14ac:dyDescent="0.3">
      <c r="A172" s="5" t="s">
        <v>297</v>
      </c>
      <c r="B172" s="8">
        <v>3</v>
      </c>
      <c r="C172" s="5" t="s">
        <v>390</v>
      </c>
      <c r="D172" s="5" t="s">
        <v>429</v>
      </c>
      <c r="E172" s="8">
        <v>1</v>
      </c>
      <c r="F172" s="7">
        <v>120</v>
      </c>
      <c r="G172" s="7">
        <f t="shared" si="2"/>
        <v>120</v>
      </c>
    </row>
    <row r="173" spans="1:7" x14ac:dyDescent="0.3">
      <c r="A173" s="5" t="s">
        <v>298</v>
      </c>
      <c r="B173" s="8">
        <v>1</v>
      </c>
      <c r="C173" s="5" t="s">
        <v>395</v>
      </c>
      <c r="D173" s="5" t="s">
        <v>434</v>
      </c>
      <c r="E173" s="8">
        <v>1</v>
      </c>
      <c r="F173" s="7">
        <v>150</v>
      </c>
      <c r="G173" s="7">
        <f t="shared" si="2"/>
        <v>150</v>
      </c>
    </row>
    <row r="174" spans="1:7" x14ac:dyDescent="0.3">
      <c r="A174" s="5" t="s">
        <v>298</v>
      </c>
      <c r="B174" s="8">
        <v>2</v>
      </c>
      <c r="C174" s="5" t="s">
        <v>382</v>
      </c>
      <c r="D174" s="5" t="s">
        <v>430</v>
      </c>
      <c r="E174" s="8">
        <v>1</v>
      </c>
      <c r="F174" s="7">
        <v>150</v>
      </c>
      <c r="G174" s="7">
        <f t="shared" si="2"/>
        <v>150</v>
      </c>
    </row>
    <row r="175" spans="1:7" x14ac:dyDescent="0.3">
      <c r="A175" s="5" t="s">
        <v>298</v>
      </c>
      <c r="B175" s="8">
        <v>3</v>
      </c>
      <c r="C175" s="5" t="s">
        <v>387</v>
      </c>
      <c r="D175" s="5" t="s">
        <v>458</v>
      </c>
      <c r="E175" s="8">
        <v>1</v>
      </c>
      <c r="F175" s="7">
        <v>150</v>
      </c>
      <c r="G175" s="7">
        <f t="shared" si="2"/>
        <v>150</v>
      </c>
    </row>
    <row r="176" spans="1:7" x14ac:dyDescent="0.3">
      <c r="A176" s="5" t="s">
        <v>299</v>
      </c>
      <c r="B176" s="8">
        <v>1</v>
      </c>
      <c r="C176" s="5" t="s">
        <v>395</v>
      </c>
      <c r="D176" s="5" t="s">
        <v>433</v>
      </c>
      <c r="E176" s="8">
        <v>1</v>
      </c>
      <c r="F176" s="7">
        <v>120</v>
      </c>
      <c r="G176" s="7">
        <f t="shared" si="2"/>
        <v>120</v>
      </c>
    </row>
    <row r="177" spans="1:7" x14ac:dyDescent="0.3">
      <c r="A177" s="5" t="s">
        <v>299</v>
      </c>
      <c r="B177" s="8">
        <v>2</v>
      </c>
      <c r="C177" s="5" t="s">
        <v>390</v>
      </c>
      <c r="D177" s="5" t="s">
        <v>431</v>
      </c>
      <c r="E177" s="8">
        <v>1</v>
      </c>
      <c r="F177" s="7">
        <v>120</v>
      </c>
      <c r="G177" s="7">
        <f t="shared" si="2"/>
        <v>120</v>
      </c>
    </row>
    <row r="178" spans="1:7" x14ac:dyDescent="0.3">
      <c r="A178" s="5" t="s">
        <v>299</v>
      </c>
      <c r="B178" s="8">
        <v>3</v>
      </c>
      <c r="C178" s="5" t="s">
        <v>387</v>
      </c>
      <c r="D178" s="5" t="s">
        <v>432</v>
      </c>
      <c r="E178" s="8">
        <v>1</v>
      </c>
      <c r="F178" s="7">
        <v>120</v>
      </c>
      <c r="G178" s="7">
        <f t="shared" si="2"/>
        <v>120</v>
      </c>
    </row>
    <row r="179" spans="1:7" x14ac:dyDescent="0.3">
      <c r="A179" s="5" t="s">
        <v>300</v>
      </c>
      <c r="B179" s="8">
        <v>1</v>
      </c>
      <c r="C179" s="5" t="s">
        <v>382</v>
      </c>
      <c r="D179" s="5" t="s">
        <v>440</v>
      </c>
      <c r="E179" s="8">
        <v>1</v>
      </c>
      <c r="F179" s="7">
        <v>120</v>
      </c>
      <c r="G179" s="7">
        <f t="shared" si="2"/>
        <v>120</v>
      </c>
    </row>
    <row r="180" spans="1:7" x14ac:dyDescent="0.3">
      <c r="A180" s="5" t="s">
        <v>300</v>
      </c>
      <c r="B180" s="8">
        <v>2</v>
      </c>
      <c r="C180" s="5" t="s">
        <v>395</v>
      </c>
      <c r="D180" s="5" t="s">
        <v>433</v>
      </c>
      <c r="E180" s="8">
        <v>1</v>
      </c>
      <c r="F180" s="7">
        <v>120</v>
      </c>
      <c r="G180" s="7">
        <f t="shared" si="2"/>
        <v>120</v>
      </c>
    </row>
    <row r="181" spans="1:7" x14ac:dyDescent="0.3">
      <c r="A181" s="5" t="s">
        <v>301</v>
      </c>
      <c r="B181" s="8">
        <v>1</v>
      </c>
      <c r="C181" s="5" t="s">
        <v>395</v>
      </c>
      <c r="D181" s="5" t="s">
        <v>442</v>
      </c>
      <c r="E181" s="8">
        <v>1</v>
      </c>
      <c r="F181" s="7">
        <v>150</v>
      </c>
      <c r="G181" s="7">
        <f t="shared" si="2"/>
        <v>150</v>
      </c>
    </row>
    <row r="182" spans="1:7" x14ac:dyDescent="0.3">
      <c r="A182" s="5" t="s">
        <v>302</v>
      </c>
      <c r="B182" s="8">
        <v>1</v>
      </c>
      <c r="C182" s="5" t="s">
        <v>412</v>
      </c>
      <c r="D182" s="5" t="s">
        <v>451</v>
      </c>
      <c r="E182" s="8">
        <v>1</v>
      </c>
      <c r="F182" s="7">
        <v>180</v>
      </c>
      <c r="G182" s="7">
        <f t="shared" si="2"/>
        <v>180</v>
      </c>
    </row>
    <row r="183" spans="1:7" x14ac:dyDescent="0.3">
      <c r="A183" s="5" t="s">
        <v>302</v>
      </c>
      <c r="B183" s="8">
        <v>2</v>
      </c>
      <c r="C183" s="5" t="s">
        <v>382</v>
      </c>
      <c r="D183" s="5" t="s">
        <v>449</v>
      </c>
      <c r="E183" s="8">
        <v>1</v>
      </c>
      <c r="F183" s="7">
        <v>180</v>
      </c>
      <c r="G183" s="7">
        <f t="shared" si="2"/>
        <v>180</v>
      </c>
    </row>
    <row r="184" spans="1:7" x14ac:dyDescent="0.3">
      <c r="A184" s="5" t="s">
        <v>303</v>
      </c>
      <c r="B184" s="8">
        <v>1</v>
      </c>
      <c r="C184" s="5" t="s">
        <v>384</v>
      </c>
      <c r="D184" s="5" t="s">
        <v>441</v>
      </c>
      <c r="E184" s="8">
        <v>1</v>
      </c>
      <c r="F184" s="7">
        <v>150</v>
      </c>
      <c r="G184" s="7">
        <f t="shared" si="2"/>
        <v>150</v>
      </c>
    </row>
    <row r="185" spans="1:7" x14ac:dyDescent="0.3">
      <c r="A185" s="5" t="s">
        <v>303</v>
      </c>
      <c r="B185" s="8">
        <v>2</v>
      </c>
      <c r="C185" s="5" t="s">
        <v>387</v>
      </c>
      <c r="D185" s="5" t="s">
        <v>452</v>
      </c>
      <c r="E185" s="8">
        <v>1</v>
      </c>
      <c r="F185" s="7">
        <v>150</v>
      </c>
      <c r="G185" s="7">
        <f t="shared" si="2"/>
        <v>150</v>
      </c>
    </row>
    <row r="186" spans="1:7" x14ac:dyDescent="0.3">
      <c r="A186" s="5" t="s">
        <v>304</v>
      </c>
      <c r="B186" s="8">
        <v>1</v>
      </c>
      <c r="C186" s="5" t="s">
        <v>390</v>
      </c>
      <c r="D186" s="5" t="s">
        <v>445</v>
      </c>
      <c r="E186" s="8">
        <v>1</v>
      </c>
      <c r="F186" s="7">
        <v>120</v>
      </c>
      <c r="G186" s="7">
        <f t="shared" si="2"/>
        <v>120</v>
      </c>
    </row>
    <row r="187" spans="1:7" x14ac:dyDescent="0.3">
      <c r="A187" s="5" t="s">
        <v>304</v>
      </c>
      <c r="B187" s="8">
        <v>2</v>
      </c>
      <c r="C187" s="5" t="s">
        <v>382</v>
      </c>
      <c r="D187" s="5" t="s">
        <v>446</v>
      </c>
      <c r="E187" s="8">
        <v>1</v>
      </c>
      <c r="F187" s="7">
        <v>120</v>
      </c>
      <c r="G187" s="7">
        <f t="shared" si="2"/>
        <v>120</v>
      </c>
    </row>
    <row r="188" spans="1:7" x14ac:dyDescent="0.3">
      <c r="A188" s="5" t="s">
        <v>305</v>
      </c>
      <c r="B188" s="8">
        <v>1</v>
      </c>
      <c r="C188" s="5" t="s">
        <v>384</v>
      </c>
      <c r="D188" s="5" t="s">
        <v>450</v>
      </c>
      <c r="E188" s="8">
        <v>1</v>
      </c>
      <c r="F188" s="7">
        <v>180</v>
      </c>
      <c r="G188" s="7">
        <f t="shared" si="2"/>
        <v>180</v>
      </c>
    </row>
    <row r="189" spans="1:7" x14ac:dyDescent="0.3">
      <c r="A189" s="5" t="s">
        <v>305</v>
      </c>
      <c r="B189" s="8">
        <v>2</v>
      </c>
      <c r="C189" s="5" t="s">
        <v>400</v>
      </c>
      <c r="D189" s="5" t="s">
        <v>459</v>
      </c>
      <c r="E189" s="8">
        <v>1</v>
      </c>
      <c r="F189" s="7">
        <v>180</v>
      </c>
      <c r="G189" s="7">
        <f t="shared" si="2"/>
        <v>180</v>
      </c>
    </row>
    <row r="190" spans="1:7" x14ac:dyDescent="0.3">
      <c r="A190" s="5" t="s">
        <v>305</v>
      </c>
      <c r="B190" s="8">
        <v>3</v>
      </c>
      <c r="C190" s="5" t="s">
        <v>412</v>
      </c>
      <c r="D190" s="5" t="s">
        <v>451</v>
      </c>
      <c r="E190" s="8">
        <v>1</v>
      </c>
      <c r="F190" s="7">
        <v>180</v>
      </c>
      <c r="G190" s="7">
        <f t="shared" si="2"/>
        <v>180</v>
      </c>
    </row>
    <row r="191" spans="1:7" x14ac:dyDescent="0.3">
      <c r="A191" s="5" t="s">
        <v>306</v>
      </c>
      <c r="B191" s="8">
        <v>1</v>
      </c>
      <c r="C191" s="5" t="s">
        <v>387</v>
      </c>
      <c r="D191" s="5" t="s">
        <v>458</v>
      </c>
      <c r="E191" s="8">
        <v>1</v>
      </c>
      <c r="F191" s="7">
        <v>150</v>
      </c>
      <c r="G191" s="7">
        <f t="shared" si="2"/>
        <v>150</v>
      </c>
    </row>
    <row r="192" spans="1:7" x14ac:dyDescent="0.3">
      <c r="A192" s="5" t="s">
        <v>307</v>
      </c>
      <c r="B192" s="8">
        <v>1</v>
      </c>
      <c r="C192" s="5" t="s">
        <v>412</v>
      </c>
      <c r="D192" s="5" t="s">
        <v>453</v>
      </c>
      <c r="E192" s="8">
        <v>1</v>
      </c>
      <c r="F192" s="7">
        <v>180</v>
      </c>
      <c r="G192" s="7">
        <f t="shared" si="2"/>
        <v>180</v>
      </c>
    </row>
    <row r="193" spans="1:7" x14ac:dyDescent="0.3">
      <c r="A193" s="5" t="s">
        <v>308</v>
      </c>
      <c r="B193" s="8">
        <v>1</v>
      </c>
      <c r="C193" s="5" t="s">
        <v>384</v>
      </c>
      <c r="D193" s="5" t="s">
        <v>426</v>
      </c>
      <c r="E193" s="8">
        <v>1</v>
      </c>
      <c r="F193" s="7">
        <v>180</v>
      </c>
      <c r="G193" s="7">
        <f t="shared" si="2"/>
        <v>180</v>
      </c>
    </row>
    <row r="194" spans="1:7" x14ac:dyDescent="0.3">
      <c r="A194" s="5" t="s">
        <v>308</v>
      </c>
      <c r="B194" s="8">
        <v>2</v>
      </c>
      <c r="C194" s="5" t="s">
        <v>400</v>
      </c>
      <c r="D194" s="5" t="s">
        <v>436</v>
      </c>
      <c r="E194" s="8">
        <v>1</v>
      </c>
      <c r="F194" s="7">
        <v>180</v>
      </c>
      <c r="G194" s="7">
        <f t="shared" ref="G194:G257" si="3">E194*F194</f>
        <v>180</v>
      </c>
    </row>
    <row r="195" spans="1:7" x14ac:dyDescent="0.3">
      <c r="A195" s="5" t="s">
        <v>309</v>
      </c>
      <c r="B195" s="8">
        <v>1</v>
      </c>
      <c r="C195" s="5" t="s">
        <v>412</v>
      </c>
      <c r="D195" s="5" t="s">
        <v>453</v>
      </c>
      <c r="E195" s="8">
        <v>1</v>
      </c>
      <c r="F195" s="7">
        <v>180</v>
      </c>
      <c r="G195" s="7">
        <f t="shared" si="3"/>
        <v>180</v>
      </c>
    </row>
    <row r="196" spans="1:7" x14ac:dyDescent="0.3">
      <c r="A196" s="5" t="s">
        <v>310</v>
      </c>
      <c r="B196" s="8">
        <v>1</v>
      </c>
      <c r="C196" s="5" t="s">
        <v>382</v>
      </c>
      <c r="D196" s="5" t="s">
        <v>454</v>
      </c>
      <c r="E196" s="8">
        <v>1</v>
      </c>
      <c r="F196" s="7">
        <v>180</v>
      </c>
      <c r="G196" s="7">
        <f t="shared" si="3"/>
        <v>180</v>
      </c>
    </row>
    <row r="197" spans="1:7" x14ac:dyDescent="0.3">
      <c r="A197" s="5" t="s">
        <v>311</v>
      </c>
      <c r="B197" s="8">
        <v>1</v>
      </c>
      <c r="C197" s="5" t="s">
        <v>382</v>
      </c>
      <c r="D197" s="5" t="s">
        <v>440</v>
      </c>
      <c r="E197" s="8">
        <v>1</v>
      </c>
      <c r="F197" s="7">
        <v>120</v>
      </c>
      <c r="G197" s="7">
        <f t="shared" si="3"/>
        <v>120</v>
      </c>
    </row>
    <row r="198" spans="1:7" x14ac:dyDescent="0.3">
      <c r="A198" s="5" t="s">
        <v>312</v>
      </c>
      <c r="B198" s="8">
        <v>1</v>
      </c>
      <c r="C198" s="5" t="s">
        <v>400</v>
      </c>
      <c r="D198" s="5" t="s">
        <v>459</v>
      </c>
      <c r="E198" s="8">
        <v>1</v>
      </c>
      <c r="F198" s="7">
        <v>180</v>
      </c>
      <c r="G198" s="7">
        <f t="shared" si="3"/>
        <v>180</v>
      </c>
    </row>
    <row r="199" spans="1:7" x14ac:dyDescent="0.3">
      <c r="A199" s="5" t="s">
        <v>312</v>
      </c>
      <c r="B199" s="8">
        <v>2</v>
      </c>
      <c r="C199" s="5" t="s">
        <v>382</v>
      </c>
      <c r="D199" s="5" t="s">
        <v>449</v>
      </c>
      <c r="E199" s="8">
        <v>1</v>
      </c>
      <c r="F199" s="7">
        <v>180</v>
      </c>
      <c r="G199" s="7">
        <f t="shared" si="3"/>
        <v>180</v>
      </c>
    </row>
    <row r="200" spans="1:7" x14ac:dyDescent="0.3">
      <c r="A200" s="5" t="s">
        <v>312</v>
      </c>
      <c r="B200" s="8">
        <v>3</v>
      </c>
      <c r="C200" s="5" t="s">
        <v>384</v>
      </c>
      <c r="D200" s="5" t="s">
        <v>450</v>
      </c>
      <c r="E200" s="8">
        <v>1</v>
      </c>
      <c r="F200" s="7">
        <v>180</v>
      </c>
      <c r="G200" s="7">
        <f t="shared" si="3"/>
        <v>180</v>
      </c>
    </row>
    <row r="201" spans="1:7" x14ac:dyDescent="0.3">
      <c r="A201" s="5" t="s">
        <v>313</v>
      </c>
      <c r="B201" s="8">
        <v>1</v>
      </c>
      <c r="C201" s="5" t="s">
        <v>382</v>
      </c>
      <c r="D201" s="5" t="s">
        <v>428</v>
      </c>
      <c r="E201" s="8">
        <v>1</v>
      </c>
      <c r="F201" s="7">
        <v>120</v>
      </c>
      <c r="G201" s="7">
        <f t="shared" si="3"/>
        <v>120</v>
      </c>
    </row>
    <row r="202" spans="1:7" x14ac:dyDescent="0.3">
      <c r="A202" s="5" t="s">
        <v>314</v>
      </c>
      <c r="B202" s="8">
        <v>1</v>
      </c>
      <c r="C202" s="5" t="s">
        <v>395</v>
      </c>
      <c r="D202" s="5" t="s">
        <v>442</v>
      </c>
      <c r="E202" s="8">
        <v>1</v>
      </c>
      <c r="F202" s="7">
        <v>150</v>
      </c>
      <c r="G202" s="7">
        <f t="shared" si="3"/>
        <v>150</v>
      </c>
    </row>
    <row r="203" spans="1:7" x14ac:dyDescent="0.3">
      <c r="A203" s="5" t="s">
        <v>314</v>
      </c>
      <c r="B203" s="8">
        <v>2</v>
      </c>
      <c r="C203" s="5" t="s">
        <v>382</v>
      </c>
      <c r="D203" s="5" t="s">
        <v>460</v>
      </c>
      <c r="E203" s="8">
        <v>1</v>
      </c>
      <c r="F203" s="7">
        <v>150</v>
      </c>
      <c r="G203" s="7">
        <f t="shared" si="3"/>
        <v>150</v>
      </c>
    </row>
    <row r="204" spans="1:7" x14ac:dyDescent="0.3">
      <c r="A204" s="5" t="s">
        <v>315</v>
      </c>
      <c r="B204" s="8">
        <v>1</v>
      </c>
      <c r="C204" s="5" t="s">
        <v>390</v>
      </c>
      <c r="D204" s="5" t="s">
        <v>445</v>
      </c>
      <c r="E204" s="8">
        <v>1</v>
      </c>
      <c r="F204" s="7">
        <v>120</v>
      </c>
      <c r="G204" s="7">
        <f t="shared" si="3"/>
        <v>120</v>
      </c>
    </row>
    <row r="205" spans="1:7" x14ac:dyDescent="0.3">
      <c r="A205" s="5" t="s">
        <v>316</v>
      </c>
      <c r="B205" s="8">
        <v>1</v>
      </c>
      <c r="C205" s="5" t="s">
        <v>395</v>
      </c>
      <c r="D205" s="5" t="s">
        <v>442</v>
      </c>
      <c r="E205" s="8">
        <v>1</v>
      </c>
      <c r="F205" s="7">
        <v>150</v>
      </c>
      <c r="G205" s="7">
        <f t="shared" si="3"/>
        <v>150</v>
      </c>
    </row>
    <row r="206" spans="1:7" x14ac:dyDescent="0.3">
      <c r="A206" s="5" t="s">
        <v>317</v>
      </c>
      <c r="B206" s="8">
        <v>1</v>
      </c>
      <c r="C206" s="5" t="s">
        <v>398</v>
      </c>
      <c r="D206" s="5" t="s">
        <v>455</v>
      </c>
      <c r="E206" s="8">
        <v>1</v>
      </c>
      <c r="F206" s="7">
        <v>180</v>
      </c>
      <c r="G206" s="7">
        <f t="shared" si="3"/>
        <v>180</v>
      </c>
    </row>
    <row r="207" spans="1:7" x14ac:dyDescent="0.3">
      <c r="A207" s="5" t="s">
        <v>317</v>
      </c>
      <c r="B207" s="8">
        <v>2</v>
      </c>
      <c r="C207" s="5" t="s">
        <v>382</v>
      </c>
      <c r="D207" s="5" t="s">
        <v>449</v>
      </c>
      <c r="E207" s="8">
        <v>1</v>
      </c>
      <c r="F207" s="7">
        <v>180</v>
      </c>
      <c r="G207" s="7">
        <f t="shared" si="3"/>
        <v>180</v>
      </c>
    </row>
    <row r="208" spans="1:7" x14ac:dyDescent="0.3">
      <c r="A208" s="5" t="s">
        <v>318</v>
      </c>
      <c r="B208" s="8">
        <v>1</v>
      </c>
      <c r="C208" s="5" t="s">
        <v>382</v>
      </c>
      <c r="D208" s="5" t="s">
        <v>454</v>
      </c>
      <c r="E208" s="8">
        <v>1</v>
      </c>
      <c r="F208" s="7">
        <v>180</v>
      </c>
      <c r="G208" s="7">
        <f t="shared" si="3"/>
        <v>180</v>
      </c>
    </row>
    <row r="209" spans="1:7" x14ac:dyDescent="0.3">
      <c r="A209" s="5" t="s">
        <v>318</v>
      </c>
      <c r="B209" s="8">
        <v>2</v>
      </c>
      <c r="C209" s="5" t="s">
        <v>412</v>
      </c>
      <c r="D209" s="5" t="s">
        <v>453</v>
      </c>
      <c r="E209" s="8">
        <v>1</v>
      </c>
      <c r="F209" s="7">
        <v>180</v>
      </c>
      <c r="G209" s="7">
        <f t="shared" si="3"/>
        <v>180</v>
      </c>
    </row>
    <row r="210" spans="1:7" x14ac:dyDescent="0.3">
      <c r="A210" s="5" t="s">
        <v>319</v>
      </c>
      <c r="B210" s="8">
        <v>1</v>
      </c>
      <c r="C210" s="5" t="s">
        <v>437</v>
      </c>
      <c r="D210" s="5" t="s">
        <v>438</v>
      </c>
      <c r="E210" s="8">
        <v>1</v>
      </c>
      <c r="F210" s="7">
        <v>50</v>
      </c>
      <c r="G210" s="7">
        <f t="shared" si="3"/>
        <v>50</v>
      </c>
    </row>
    <row r="211" spans="1:7" x14ac:dyDescent="0.3">
      <c r="A211" s="5" t="s">
        <v>319</v>
      </c>
      <c r="B211" s="8">
        <v>2</v>
      </c>
      <c r="C211" s="5" t="s">
        <v>395</v>
      </c>
      <c r="D211" s="5" t="s">
        <v>461</v>
      </c>
      <c r="E211" s="8">
        <v>1</v>
      </c>
      <c r="F211" s="7">
        <v>120</v>
      </c>
      <c r="G211" s="7">
        <f t="shared" si="3"/>
        <v>120</v>
      </c>
    </row>
    <row r="212" spans="1:7" x14ac:dyDescent="0.3">
      <c r="A212" s="5" t="s">
        <v>319</v>
      </c>
      <c r="B212" s="8">
        <v>3</v>
      </c>
      <c r="C212" s="5" t="s">
        <v>382</v>
      </c>
      <c r="D212" s="5" t="s">
        <v>462</v>
      </c>
      <c r="E212" s="8">
        <v>1</v>
      </c>
      <c r="F212" s="7">
        <v>120</v>
      </c>
      <c r="G212" s="7">
        <f t="shared" si="3"/>
        <v>120</v>
      </c>
    </row>
    <row r="213" spans="1:7" x14ac:dyDescent="0.3">
      <c r="A213" s="5" t="s">
        <v>319</v>
      </c>
      <c r="B213" s="8">
        <v>4</v>
      </c>
      <c r="C213" s="5" t="s">
        <v>387</v>
      </c>
      <c r="D213" s="5" t="s">
        <v>463</v>
      </c>
      <c r="E213" s="8">
        <v>1</v>
      </c>
      <c r="F213" s="7">
        <v>120</v>
      </c>
      <c r="G213" s="7">
        <f t="shared" si="3"/>
        <v>120</v>
      </c>
    </row>
    <row r="214" spans="1:7" x14ac:dyDescent="0.3">
      <c r="A214" s="5" t="s">
        <v>320</v>
      </c>
      <c r="B214" s="8">
        <v>1</v>
      </c>
      <c r="C214" s="5" t="s">
        <v>382</v>
      </c>
      <c r="D214" s="5" t="s">
        <v>464</v>
      </c>
      <c r="E214" s="8">
        <v>1</v>
      </c>
      <c r="F214" s="7">
        <v>150</v>
      </c>
      <c r="G214" s="7">
        <f t="shared" si="3"/>
        <v>150</v>
      </c>
    </row>
    <row r="215" spans="1:7" x14ac:dyDescent="0.3">
      <c r="A215" s="5" t="s">
        <v>320</v>
      </c>
      <c r="B215" s="8">
        <v>2</v>
      </c>
      <c r="C215" s="5" t="s">
        <v>384</v>
      </c>
      <c r="D215" s="5" t="s">
        <v>465</v>
      </c>
      <c r="E215" s="8">
        <v>1</v>
      </c>
      <c r="F215" s="7">
        <v>150</v>
      </c>
      <c r="G215" s="7">
        <f t="shared" si="3"/>
        <v>150</v>
      </c>
    </row>
    <row r="216" spans="1:7" x14ac:dyDescent="0.3">
      <c r="A216" s="5" t="s">
        <v>321</v>
      </c>
      <c r="B216" s="8">
        <v>1</v>
      </c>
      <c r="C216" s="5" t="s">
        <v>384</v>
      </c>
      <c r="D216" s="5" t="s">
        <v>466</v>
      </c>
      <c r="E216" s="8">
        <v>1</v>
      </c>
      <c r="F216" s="7">
        <v>180</v>
      </c>
      <c r="G216" s="7">
        <f t="shared" si="3"/>
        <v>180</v>
      </c>
    </row>
    <row r="217" spans="1:7" x14ac:dyDescent="0.3">
      <c r="A217" s="5" t="s">
        <v>322</v>
      </c>
      <c r="B217" s="8">
        <v>1</v>
      </c>
      <c r="C217" s="5" t="s">
        <v>384</v>
      </c>
      <c r="D217" s="5" t="s">
        <v>465</v>
      </c>
      <c r="E217" s="8">
        <v>1</v>
      </c>
      <c r="F217" s="7">
        <v>150</v>
      </c>
      <c r="G217" s="7">
        <f t="shared" si="3"/>
        <v>150</v>
      </c>
    </row>
    <row r="218" spans="1:7" x14ac:dyDescent="0.3">
      <c r="A218" s="5" t="s">
        <v>322</v>
      </c>
      <c r="B218" s="8">
        <v>2</v>
      </c>
      <c r="C218" s="5" t="s">
        <v>387</v>
      </c>
      <c r="D218" s="5" t="s">
        <v>467</v>
      </c>
      <c r="E218" s="8">
        <v>1</v>
      </c>
      <c r="F218" s="7">
        <v>150</v>
      </c>
      <c r="G218" s="7">
        <f t="shared" si="3"/>
        <v>150</v>
      </c>
    </row>
    <row r="219" spans="1:7" x14ac:dyDescent="0.3">
      <c r="A219" s="5" t="s">
        <v>323</v>
      </c>
      <c r="B219" s="8">
        <v>1</v>
      </c>
      <c r="C219" s="5" t="s">
        <v>384</v>
      </c>
      <c r="D219" s="5" t="s">
        <v>466</v>
      </c>
      <c r="E219" s="8">
        <v>1</v>
      </c>
      <c r="F219" s="7">
        <v>180</v>
      </c>
      <c r="G219" s="7">
        <f t="shared" si="3"/>
        <v>180</v>
      </c>
    </row>
    <row r="220" spans="1:7" x14ac:dyDescent="0.3">
      <c r="A220" s="5" t="s">
        <v>324</v>
      </c>
      <c r="B220" s="8">
        <v>1</v>
      </c>
      <c r="C220" s="5" t="s">
        <v>382</v>
      </c>
      <c r="D220" s="5" t="s">
        <v>468</v>
      </c>
      <c r="E220" s="8">
        <v>1</v>
      </c>
      <c r="F220" s="7">
        <v>120</v>
      </c>
      <c r="G220" s="7">
        <f t="shared" si="3"/>
        <v>120</v>
      </c>
    </row>
    <row r="221" spans="1:7" x14ac:dyDescent="0.3">
      <c r="A221" s="5" t="s">
        <v>324</v>
      </c>
      <c r="B221" s="8">
        <v>2</v>
      </c>
      <c r="C221" s="5" t="s">
        <v>390</v>
      </c>
      <c r="D221" s="5" t="s">
        <v>469</v>
      </c>
      <c r="E221" s="8">
        <v>1</v>
      </c>
      <c r="F221" s="7">
        <v>120</v>
      </c>
      <c r="G221" s="7">
        <f t="shared" si="3"/>
        <v>120</v>
      </c>
    </row>
    <row r="222" spans="1:7" x14ac:dyDescent="0.3">
      <c r="A222" s="5" t="s">
        <v>325</v>
      </c>
      <c r="B222" s="8">
        <v>1</v>
      </c>
      <c r="C222" s="5" t="s">
        <v>382</v>
      </c>
      <c r="D222" s="5" t="s">
        <v>470</v>
      </c>
      <c r="E222" s="8">
        <v>1</v>
      </c>
      <c r="F222" s="7">
        <v>150</v>
      </c>
      <c r="G222" s="7">
        <f t="shared" si="3"/>
        <v>150</v>
      </c>
    </row>
    <row r="223" spans="1:7" x14ac:dyDescent="0.3">
      <c r="A223" s="5" t="s">
        <v>326</v>
      </c>
      <c r="B223" s="8">
        <v>1</v>
      </c>
      <c r="C223" s="5" t="s">
        <v>390</v>
      </c>
      <c r="D223" s="5" t="s">
        <v>471</v>
      </c>
      <c r="E223" s="8">
        <v>1</v>
      </c>
      <c r="F223" s="7">
        <v>120</v>
      </c>
      <c r="G223" s="7">
        <f t="shared" si="3"/>
        <v>120</v>
      </c>
    </row>
    <row r="224" spans="1:7" x14ac:dyDescent="0.3">
      <c r="A224" s="5" t="s">
        <v>327</v>
      </c>
      <c r="B224" s="8">
        <v>1</v>
      </c>
      <c r="C224" s="5" t="s">
        <v>387</v>
      </c>
      <c r="D224" s="5" t="s">
        <v>463</v>
      </c>
      <c r="E224" s="8">
        <v>1</v>
      </c>
      <c r="F224" s="7">
        <v>120</v>
      </c>
      <c r="G224" s="7">
        <f t="shared" si="3"/>
        <v>120</v>
      </c>
    </row>
    <row r="225" spans="1:7" x14ac:dyDescent="0.3">
      <c r="A225" s="5" t="s">
        <v>327</v>
      </c>
      <c r="B225" s="8">
        <v>2</v>
      </c>
      <c r="C225" s="5" t="s">
        <v>390</v>
      </c>
      <c r="D225" s="5" t="s">
        <v>471</v>
      </c>
      <c r="E225" s="8">
        <v>1</v>
      </c>
      <c r="F225" s="7">
        <v>120</v>
      </c>
      <c r="G225" s="7">
        <f t="shared" si="3"/>
        <v>120</v>
      </c>
    </row>
    <row r="226" spans="1:7" x14ac:dyDescent="0.3">
      <c r="A226" s="5" t="s">
        <v>328</v>
      </c>
      <c r="B226" s="8">
        <v>1</v>
      </c>
      <c r="C226" s="5" t="s">
        <v>395</v>
      </c>
      <c r="D226" s="5" t="s">
        <v>461</v>
      </c>
      <c r="E226" s="8">
        <v>1</v>
      </c>
      <c r="F226" s="7">
        <v>120</v>
      </c>
      <c r="G226" s="7">
        <f t="shared" si="3"/>
        <v>120</v>
      </c>
    </row>
    <row r="227" spans="1:7" x14ac:dyDescent="0.3">
      <c r="A227" s="5" t="s">
        <v>328</v>
      </c>
      <c r="B227" s="8">
        <v>2</v>
      </c>
      <c r="C227" s="5" t="s">
        <v>390</v>
      </c>
      <c r="D227" s="5" t="s">
        <v>471</v>
      </c>
      <c r="E227" s="8">
        <v>1</v>
      </c>
      <c r="F227" s="7">
        <v>120</v>
      </c>
      <c r="G227" s="7">
        <f t="shared" si="3"/>
        <v>120</v>
      </c>
    </row>
    <row r="228" spans="1:7" x14ac:dyDescent="0.3">
      <c r="A228" s="5" t="s">
        <v>328</v>
      </c>
      <c r="B228" s="8">
        <v>3</v>
      </c>
      <c r="C228" s="5" t="s">
        <v>387</v>
      </c>
      <c r="D228" s="5" t="s">
        <v>463</v>
      </c>
      <c r="E228" s="8">
        <v>1</v>
      </c>
      <c r="F228" s="7">
        <v>120</v>
      </c>
      <c r="G228" s="7">
        <f t="shared" si="3"/>
        <v>120</v>
      </c>
    </row>
    <row r="229" spans="1:7" x14ac:dyDescent="0.3">
      <c r="A229" s="5" t="s">
        <v>330</v>
      </c>
      <c r="B229" s="8">
        <v>1</v>
      </c>
      <c r="C229" s="5" t="s">
        <v>395</v>
      </c>
      <c r="D229" s="5" t="s">
        <v>472</v>
      </c>
      <c r="E229" s="8">
        <v>1</v>
      </c>
      <c r="F229" s="7">
        <v>150</v>
      </c>
      <c r="G229" s="7">
        <f t="shared" si="3"/>
        <v>150</v>
      </c>
    </row>
    <row r="230" spans="1:7" x14ac:dyDescent="0.3">
      <c r="A230" s="5" t="s">
        <v>331</v>
      </c>
      <c r="B230" s="8">
        <v>1</v>
      </c>
      <c r="C230" s="5" t="s">
        <v>398</v>
      </c>
      <c r="D230" s="5" t="s">
        <v>473</v>
      </c>
      <c r="E230" s="8">
        <v>1</v>
      </c>
      <c r="F230" s="7">
        <v>180</v>
      </c>
      <c r="G230" s="7">
        <f t="shared" si="3"/>
        <v>180</v>
      </c>
    </row>
    <row r="231" spans="1:7" x14ac:dyDescent="0.3">
      <c r="A231" s="5" t="s">
        <v>331</v>
      </c>
      <c r="B231" s="8">
        <v>2</v>
      </c>
      <c r="C231" s="5" t="s">
        <v>400</v>
      </c>
      <c r="D231" s="5" t="s">
        <v>474</v>
      </c>
      <c r="E231" s="8">
        <v>1</v>
      </c>
      <c r="F231" s="7">
        <v>180</v>
      </c>
      <c r="G231" s="7">
        <f t="shared" si="3"/>
        <v>180</v>
      </c>
    </row>
    <row r="232" spans="1:7" x14ac:dyDescent="0.3">
      <c r="A232" s="5" t="s">
        <v>331</v>
      </c>
      <c r="B232" s="8">
        <v>3</v>
      </c>
      <c r="C232" s="5" t="s">
        <v>384</v>
      </c>
      <c r="D232" s="5" t="s">
        <v>466</v>
      </c>
      <c r="E232" s="8">
        <v>1</v>
      </c>
      <c r="F232" s="7">
        <v>180</v>
      </c>
      <c r="G232" s="7">
        <f t="shared" si="3"/>
        <v>180</v>
      </c>
    </row>
    <row r="233" spans="1:7" x14ac:dyDescent="0.3">
      <c r="A233" s="5" t="s">
        <v>332</v>
      </c>
      <c r="B233" s="8">
        <v>1</v>
      </c>
      <c r="C233" s="5" t="s">
        <v>437</v>
      </c>
      <c r="D233" s="5" t="s">
        <v>438</v>
      </c>
      <c r="E233" s="8">
        <v>1</v>
      </c>
      <c r="F233" s="7">
        <v>50</v>
      </c>
      <c r="G233" s="7">
        <f t="shared" si="3"/>
        <v>50</v>
      </c>
    </row>
    <row r="234" spans="1:7" x14ac:dyDescent="0.3">
      <c r="A234" s="5" t="s">
        <v>332</v>
      </c>
      <c r="B234" s="8">
        <v>2</v>
      </c>
      <c r="C234" s="5" t="s">
        <v>384</v>
      </c>
      <c r="D234" s="5" t="s">
        <v>475</v>
      </c>
      <c r="E234" s="8">
        <v>1</v>
      </c>
      <c r="F234" s="7">
        <v>120</v>
      </c>
      <c r="G234" s="7">
        <f t="shared" si="3"/>
        <v>120</v>
      </c>
    </row>
    <row r="235" spans="1:7" x14ac:dyDescent="0.3">
      <c r="A235" s="5" t="s">
        <v>332</v>
      </c>
      <c r="B235" s="8">
        <v>3</v>
      </c>
      <c r="C235" s="5" t="s">
        <v>395</v>
      </c>
      <c r="D235" s="5" t="s">
        <v>461</v>
      </c>
      <c r="E235" s="8">
        <v>1</v>
      </c>
      <c r="F235" s="7">
        <v>120</v>
      </c>
      <c r="G235" s="7">
        <f t="shared" si="3"/>
        <v>120</v>
      </c>
    </row>
    <row r="236" spans="1:7" x14ac:dyDescent="0.3">
      <c r="A236" s="5" t="s">
        <v>333</v>
      </c>
      <c r="B236" s="8">
        <v>1</v>
      </c>
      <c r="C236" s="5" t="s">
        <v>390</v>
      </c>
      <c r="D236" s="5" t="s">
        <v>471</v>
      </c>
      <c r="E236" s="8">
        <v>1</v>
      </c>
      <c r="F236" s="7">
        <v>120</v>
      </c>
      <c r="G236" s="7">
        <f t="shared" si="3"/>
        <v>120</v>
      </c>
    </row>
    <row r="237" spans="1:7" x14ac:dyDescent="0.3">
      <c r="A237" s="5" t="s">
        <v>333</v>
      </c>
      <c r="B237" s="8">
        <v>2</v>
      </c>
      <c r="C237" s="5" t="s">
        <v>382</v>
      </c>
      <c r="D237" s="5" t="s">
        <v>462</v>
      </c>
      <c r="E237" s="8">
        <v>1</v>
      </c>
      <c r="F237" s="7">
        <v>120</v>
      </c>
      <c r="G237" s="7">
        <f t="shared" si="3"/>
        <v>120</v>
      </c>
    </row>
    <row r="238" spans="1:7" x14ac:dyDescent="0.3">
      <c r="A238" s="5" t="s">
        <v>333</v>
      </c>
      <c r="B238" s="8">
        <v>3</v>
      </c>
      <c r="C238" s="5" t="s">
        <v>395</v>
      </c>
      <c r="D238" s="5" t="s">
        <v>461</v>
      </c>
      <c r="E238" s="8">
        <v>1</v>
      </c>
      <c r="F238" s="7">
        <v>120</v>
      </c>
      <c r="G238" s="7">
        <f t="shared" si="3"/>
        <v>120</v>
      </c>
    </row>
    <row r="239" spans="1:7" x14ac:dyDescent="0.3">
      <c r="A239" s="5" t="s">
        <v>334</v>
      </c>
      <c r="B239" s="8">
        <v>1</v>
      </c>
      <c r="C239" s="5" t="s">
        <v>384</v>
      </c>
      <c r="D239" s="5" t="s">
        <v>476</v>
      </c>
      <c r="E239" s="8">
        <v>1</v>
      </c>
      <c r="F239" s="7">
        <v>150</v>
      </c>
      <c r="G239" s="7">
        <f t="shared" si="3"/>
        <v>150</v>
      </c>
    </row>
    <row r="240" spans="1:7" x14ac:dyDescent="0.3">
      <c r="A240" s="5" t="s">
        <v>334</v>
      </c>
      <c r="B240" s="8">
        <v>2</v>
      </c>
      <c r="C240" s="5" t="s">
        <v>395</v>
      </c>
      <c r="D240" s="5" t="s">
        <v>477</v>
      </c>
      <c r="E240" s="8">
        <v>1</v>
      </c>
      <c r="F240" s="7">
        <v>150</v>
      </c>
      <c r="G240" s="7">
        <f t="shared" si="3"/>
        <v>150</v>
      </c>
    </row>
    <row r="241" spans="1:7" x14ac:dyDescent="0.3">
      <c r="A241" s="5" t="s">
        <v>335</v>
      </c>
      <c r="B241" s="8">
        <v>1</v>
      </c>
      <c r="C241" s="5" t="s">
        <v>382</v>
      </c>
      <c r="D241" s="5" t="s">
        <v>470</v>
      </c>
      <c r="E241" s="8">
        <v>1</v>
      </c>
      <c r="F241" s="7">
        <v>150</v>
      </c>
      <c r="G241" s="7">
        <f t="shared" si="3"/>
        <v>150</v>
      </c>
    </row>
    <row r="242" spans="1:7" x14ac:dyDescent="0.3">
      <c r="A242" s="5" t="s">
        <v>335</v>
      </c>
      <c r="B242" s="8">
        <v>2</v>
      </c>
      <c r="C242" s="5" t="s">
        <v>384</v>
      </c>
      <c r="D242" s="5" t="s">
        <v>478</v>
      </c>
      <c r="E242" s="8">
        <v>1</v>
      </c>
      <c r="F242" s="7">
        <v>150</v>
      </c>
      <c r="G242" s="7">
        <f t="shared" si="3"/>
        <v>150</v>
      </c>
    </row>
    <row r="243" spans="1:7" x14ac:dyDescent="0.3">
      <c r="A243" s="5" t="s">
        <v>336</v>
      </c>
      <c r="B243" s="8">
        <v>1</v>
      </c>
      <c r="C243" s="5" t="s">
        <v>387</v>
      </c>
      <c r="D243" s="5" t="s">
        <v>479</v>
      </c>
      <c r="E243" s="8">
        <v>1</v>
      </c>
      <c r="F243" s="7">
        <v>120</v>
      </c>
      <c r="G243" s="7">
        <f t="shared" si="3"/>
        <v>120</v>
      </c>
    </row>
    <row r="244" spans="1:7" x14ac:dyDescent="0.3">
      <c r="A244" s="5" t="s">
        <v>336</v>
      </c>
      <c r="B244" s="8">
        <v>2</v>
      </c>
      <c r="C244" s="5" t="s">
        <v>390</v>
      </c>
      <c r="D244" s="5" t="s">
        <v>480</v>
      </c>
      <c r="E244" s="8">
        <v>1</v>
      </c>
      <c r="F244" s="7">
        <v>120</v>
      </c>
      <c r="G244" s="7">
        <f t="shared" si="3"/>
        <v>120</v>
      </c>
    </row>
    <row r="245" spans="1:7" x14ac:dyDescent="0.3">
      <c r="A245" s="5" t="s">
        <v>336</v>
      </c>
      <c r="B245" s="8">
        <v>3</v>
      </c>
      <c r="C245" s="5" t="s">
        <v>382</v>
      </c>
      <c r="D245" s="5" t="s">
        <v>481</v>
      </c>
      <c r="E245" s="8">
        <v>1</v>
      </c>
      <c r="F245" s="7">
        <v>120</v>
      </c>
      <c r="G245" s="7">
        <f t="shared" si="3"/>
        <v>120</v>
      </c>
    </row>
    <row r="246" spans="1:7" x14ac:dyDescent="0.3">
      <c r="A246" s="5" t="s">
        <v>337</v>
      </c>
      <c r="B246" s="8">
        <v>1</v>
      </c>
      <c r="C246" s="5" t="s">
        <v>384</v>
      </c>
      <c r="D246" s="5" t="s">
        <v>482</v>
      </c>
      <c r="E246" s="8">
        <v>1</v>
      </c>
      <c r="F246" s="7">
        <v>120</v>
      </c>
      <c r="G246" s="7">
        <f t="shared" si="3"/>
        <v>120</v>
      </c>
    </row>
    <row r="247" spans="1:7" x14ac:dyDescent="0.3">
      <c r="A247" s="5" t="s">
        <v>337</v>
      </c>
      <c r="B247" s="8">
        <v>2</v>
      </c>
      <c r="C247" s="5" t="s">
        <v>390</v>
      </c>
      <c r="D247" s="5" t="s">
        <v>469</v>
      </c>
      <c r="E247" s="8">
        <v>1</v>
      </c>
      <c r="F247" s="7">
        <v>120</v>
      </c>
      <c r="G247" s="7">
        <f t="shared" si="3"/>
        <v>120</v>
      </c>
    </row>
    <row r="248" spans="1:7" x14ac:dyDescent="0.3">
      <c r="A248" s="5" t="s">
        <v>338</v>
      </c>
      <c r="B248" s="8">
        <v>1</v>
      </c>
      <c r="C248" s="5" t="s">
        <v>387</v>
      </c>
      <c r="D248" s="5" t="s">
        <v>483</v>
      </c>
      <c r="E248" s="8">
        <v>1</v>
      </c>
      <c r="F248" s="7">
        <v>120</v>
      </c>
      <c r="G248" s="7">
        <f t="shared" si="3"/>
        <v>120</v>
      </c>
    </row>
    <row r="249" spans="1:7" x14ac:dyDescent="0.3">
      <c r="A249" s="5" t="s">
        <v>338</v>
      </c>
      <c r="B249" s="8">
        <v>2</v>
      </c>
      <c r="C249" s="5" t="s">
        <v>382</v>
      </c>
      <c r="D249" s="5" t="s">
        <v>468</v>
      </c>
      <c r="E249" s="8">
        <v>1</v>
      </c>
      <c r="F249" s="7">
        <v>120</v>
      </c>
      <c r="G249" s="7">
        <f t="shared" si="3"/>
        <v>120</v>
      </c>
    </row>
    <row r="250" spans="1:7" x14ac:dyDescent="0.3">
      <c r="A250" s="5" t="s">
        <v>338</v>
      </c>
      <c r="B250" s="8">
        <v>3</v>
      </c>
      <c r="C250" s="5" t="s">
        <v>390</v>
      </c>
      <c r="D250" s="5" t="s">
        <v>469</v>
      </c>
      <c r="E250" s="8">
        <v>1</v>
      </c>
      <c r="F250" s="7">
        <v>120</v>
      </c>
      <c r="G250" s="7">
        <f t="shared" si="3"/>
        <v>120</v>
      </c>
    </row>
    <row r="251" spans="1:7" x14ac:dyDescent="0.3">
      <c r="A251" s="5" t="s">
        <v>339</v>
      </c>
      <c r="B251" s="8">
        <v>1</v>
      </c>
      <c r="C251" s="5" t="s">
        <v>382</v>
      </c>
      <c r="D251" s="5" t="s">
        <v>484</v>
      </c>
      <c r="E251" s="8">
        <v>1</v>
      </c>
      <c r="F251" s="7">
        <v>180</v>
      </c>
      <c r="G251" s="7">
        <f t="shared" si="3"/>
        <v>180</v>
      </c>
    </row>
    <row r="252" spans="1:7" x14ac:dyDescent="0.3">
      <c r="A252" s="5" t="s">
        <v>340</v>
      </c>
      <c r="B252" s="8">
        <v>1</v>
      </c>
      <c r="C252" s="5" t="s">
        <v>384</v>
      </c>
      <c r="D252" s="5" t="s">
        <v>485</v>
      </c>
      <c r="E252" s="8">
        <v>1</v>
      </c>
      <c r="F252" s="7">
        <v>180</v>
      </c>
      <c r="G252" s="7">
        <f t="shared" si="3"/>
        <v>180</v>
      </c>
    </row>
    <row r="253" spans="1:7" x14ac:dyDescent="0.3">
      <c r="A253" s="5" t="s">
        <v>340</v>
      </c>
      <c r="B253" s="8">
        <v>2</v>
      </c>
      <c r="C253" s="5" t="s">
        <v>412</v>
      </c>
      <c r="D253" s="5" t="s">
        <v>486</v>
      </c>
      <c r="E253" s="8">
        <v>1</v>
      </c>
      <c r="F253" s="7">
        <v>180</v>
      </c>
      <c r="G253" s="7">
        <f t="shared" si="3"/>
        <v>180</v>
      </c>
    </row>
    <row r="254" spans="1:7" x14ac:dyDescent="0.3">
      <c r="A254" s="5" t="s">
        <v>340</v>
      </c>
      <c r="B254" s="8">
        <v>3</v>
      </c>
      <c r="C254" s="5" t="s">
        <v>382</v>
      </c>
      <c r="D254" s="5" t="s">
        <v>484</v>
      </c>
      <c r="E254" s="8">
        <v>1</v>
      </c>
      <c r="F254" s="7">
        <v>180</v>
      </c>
      <c r="G254" s="7">
        <f t="shared" si="3"/>
        <v>180</v>
      </c>
    </row>
    <row r="255" spans="1:7" x14ac:dyDescent="0.3">
      <c r="A255" s="5" t="s">
        <v>341</v>
      </c>
      <c r="B255" s="8">
        <v>1</v>
      </c>
      <c r="C255" s="5" t="s">
        <v>395</v>
      </c>
      <c r="D255" s="5" t="s">
        <v>461</v>
      </c>
      <c r="E255" s="8">
        <v>1</v>
      </c>
      <c r="F255" s="7">
        <v>120</v>
      </c>
      <c r="G255" s="7">
        <f t="shared" si="3"/>
        <v>120</v>
      </c>
    </row>
    <row r="256" spans="1:7" x14ac:dyDescent="0.3">
      <c r="A256" s="5" t="s">
        <v>341</v>
      </c>
      <c r="B256" s="8">
        <v>2</v>
      </c>
      <c r="C256" s="5" t="s">
        <v>382</v>
      </c>
      <c r="D256" s="5" t="s">
        <v>462</v>
      </c>
      <c r="E256" s="8">
        <v>1</v>
      </c>
      <c r="F256" s="7">
        <v>120</v>
      </c>
      <c r="G256" s="7">
        <f t="shared" si="3"/>
        <v>120</v>
      </c>
    </row>
    <row r="257" spans="1:7" x14ac:dyDescent="0.3">
      <c r="A257" s="5" t="s">
        <v>341</v>
      </c>
      <c r="B257" s="8">
        <v>3</v>
      </c>
      <c r="C257" s="5" t="s">
        <v>384</v>
      </c>
      <c r="D257" s="5" t="s">
        <v>475</v>
      </c>
      <c r="E257" s="8">
        <v>1</v>
      </c>
      <c r="F257" s="7">
        <v>120</v>
      </c>
      <c r="G257" s="7">
        <f t="shared" si="3"/>
        <v>120</v>
      </c>
    </row>
    <row r="258" spans="1:7" x14ac:dyDescent="0.3">
      <c r="A258" s="5" t="s">
        <v>342</v>
      </c>
      <c r="B258" s="8">
        <v>1</v>
      </c>
      <c r="C258" s="5" t="s">
        <v>382</v>
      </c>
      <c r="D258" s="5" t="s">
        <v>462</v>
      </c>
      <c r="E258" s="8">
        <v>1</v>
      </c>
      <c r="F258" s="7">
        <v>120</v>
      </c>
      <c r="G258" s="7">
        <f t="shared" ref="G258:G321" si="4">E258*F258</f>
        <v>120</v>
      </c>
    </row>
    <row r="259" spans="1:7" x14ac:dyDescent="0.3">
      <c r="A259" s="5" t="s">
        <v>342</v>
      </c>
      <c r="B259" s="8">
        <v>2</v>
      </c>
      <c r="C259" s="5" t="s">
        <v>395</v>
      </c>
      <c r="D259" s="5" t="s">
        <v>461</v>
      </c>
      <c r="E259" s="8">
        <v>1</v>
      </c>
      <c r="F259" s="7">
        <v>120</v>
      </c>
      <c r="G259" s="7">
        <f t="shared" si="4"/>
        <v>120</v>
      </c>
    </row>
    <row r="260" spans="1:7" x14ac:dyDescent="0.3">
      <c r="A260" s="5" t="s">
        <v>343</v>
      </c>
      <c r="B260" s="8">
        <v>1</v>
      </c>
      <c r="C260" s="5" t="s">
        <v>387</v>
      </c>
      <c r="D260" s="5" t="s">
        <v>487</v>
      </c>
      <c r="E260" s="8">
        <v>1</v>
      </c>
      <c r="F260" s="7">
        <v>150</v>
      </c>
      <c r="G260" s="7">
        <f t="shared" si="4"/>
        <v>150</v>
      </c>
    </row>
    <row r="261" spans="1:7" x14ac:dyDescent="0.3">
      <c r="A261" s="5" t="s">
        <v>344</v>
      </c>
      <c r="B261" s="8">
        <v>1</v>
      </c>
      <c r="C261" s="5" t="s">
        <v>390</v>
      </c>
      <c r="D261" s="5" t="s">
        <v>469</v>
      </c>
      <c r="E261" s="8">
        <v>1</v>
      </c>
      <c r="F261" s="7">
        <v>120</v>
      </c>
      <c r="G261" s="7">
        <f t="shared" si="4"/>
        <v>120</v>
      </c>
    </row>
    <row r="262" spans="1:7" x14ac:dyDescent="0.3">
      <c r="A262" s="5" t="s">
        <v>345</v>
      </c>
      <c r="B262" s="8">
        <v>1</v>
      </c>
      <c r="C262" s="5" t="s">
        <v>412</v>
      </c>
      <c r="D262" s="5" t="s">
        <v>488</v>
      </c>
      <c r="E262" s="8">
        <v>1</v>
      </c>
      <c r="F262" s="7">
        <v>180</v>
      </c>
      <c r="G262" s="7">
        <f t="shared" si="4"/>
        <v>180</v>
      </c>
    </row>
    <row r="263" spans="1:7" x14ac:dyDescent="0.3">
      <c r="A263" s="5" t="s">
        <v>346</v>
      </c>
      <c r="B263" s="8">
        <v>1</v>
      </c>
      <c r="C263" s="5" t="s">
        <v>400</v>
      </c>
      <c r="D263" s="5" t="s">
        <v>474</v>
      </c>
      <c r="E263" s="8">
        <v>1</v>
      </c>
      <c r="F263" s="7">
        <v>180</v>
      </c>
      <c r="G263" s="7">
        <f t="shared" si="4"/>
        <v>180</v>
      </c>
    </row>
    <row r="264" spans="1:7" x14ac:dyDescent="0.3">
      <c r="A264" s="5" t="s">
        <v>346</v>
      </c>
      <c r="B264" s="8">
        <v>2</v>
      </c>
      <c r="C264" s="5" t="s">
        <v>382</v>
      </c>
      <c r="D264" s="5" t="s">
        <v>489</v>
      </c>
      <c r="E264" s="8">
        <v>1</v>
      </c>
      <c r="F264" s="7">
        <v>180</v>
      </c>
      <c r="G264" s="7">
        <f t="shared" si="4"/>
        <v>180</v>
      </c>
    </row>
    <row r="265" spans="1:7" x14ac:dyDescent="0.3">
      <c r="A265" s="5" t="s">
        <v>347</v>
      </c>
      <c r="B265" s="8">
        <v>1</v>
      </c>
      <c r="C265" s="5" t="s">
        <v>412</v>
      </c>
      <c r="D265" s="5" t="s">
        <v>486</v>
      </c>
      <c r="E265" s="8">
        <v>1</v>
      </c>
      <c r="F265" s="7">
        <v>180</v>
      </c>
      <c r="G265" s="7">
        <f t="shared" si="4"/>
        <v>180</v>
      </c>
    </row>
    <row r="266" spans="1:7" x14ac:dyDescent="0.3">
      <c r="A266" s="5" t="s">
        <v>347</v>
      </c>
      <c r="B266" s="8">
        <v>2</v>
      </c>
      <c r="C266" s="5" t="s">
        <v>382</v>
      </c>
      <c r="D266" s="5" t="s">
        <v>484</v>
      </c>
      <c r="E266" s="8">
        <v>1</v>
      </c>
      <c r="F266" s="7">
        <v>180</v>
      </c>
      <c r="G266" s="7">
        <f t="shared" si="4"/>
        <v>180</v>
      </c>
    </row>
    <row r="267" spans="1:7" x14ac:dyDescent="0.3">
      <c r="A267" s="5" t="s">
        <v>347</v>
      </c>
      <c r="B267" s="8">
        <v>3</v>
      </c>
      <c r="C267" s="5" t="s">
        <v>398</v>
      </c>
      <c r="D267" s="5" t="s">
        <v>490</v>
      </c>
      <c r="E267" s="8">
        <v>1</v>
      </c>
      <c r="F267" s="7">
        <v>180</v>
      </c>
      <c r="G267" s="7">
        <f t="shared" si="4"/>
        <v>180</v>
      </c>
    </row>
    <row r="268" spans="1:7" x14ac:dyDescent="0.3">
      <c r="A268" s="5" t="s">
        <v>348</v>
      </c>
      <c r="B268" s="8">
        <v>1</v>
      </c>
      <c r="C268" s="5" t="s">
        <v>398</v>
      </c>
      <c r="D268" s="5" t="s">
        <v>473</v>
      </c>
      <c r="E268" s="8">
        <v>1</v>
      </c>
      <c r="F268" s="7">
        <v>180</v>
      </c>
      <c r="G268" s="7">
        <f t="shared" si="4"/>
        <v>180</v>
      </c>
    </row>
    <row r="269" spans="1:7" x14ac:dyDescent="0.3">
      <c r="A269" s="5" t="s">
        <v>348</v>
      </c>
      <c r="B269" s="8">
        <v>2</v>
      </c>
      <c r="C269" s="5" t="s">
        <v>384</v>
      </c>
      <c r="D269" s="5" t="s">
        <v>466</v>
      </c>
      <c r="E269" s="8">
        <v>1</v>
      </c>
      <c r="F269" s="7">
        <v>180</v>
      </c>
      <c r="G269" s="7">
        <f t="shared" si="4"/>
        <v>180</v>
      </c>
    </row>
    <row r="270" spans="1:7" x14ac:dyDescent="0.3">
      <c r="A270" s="5" t="s">
        <v>348</v>
      </c>
      <c r="B270" s="8">
        <v>3</v>
      </c>
      <c r="C270" s="5" t="s">
        <v>412</v>
      </c>
      <c r="D270" s="5" t="s">
        <v>488</v>
      </c>
      <c r="E270" s="8">
        <v>1</v>
      </c>
      <c r="F270" s="7">
        <v>180</v>
      </c>
      <c r="G270" s="7">
        <f t="shared" si="4"/>
        <v>180</v>
      </c>
    </row>
    <row r="271" spans="1:7" x14ac:dyDescent="0.3">
      <c r="A271" s="5" t="s">
        <v>349</v>
      </c>
      <c r="B271" s="8">
        <v>1</v>
      </c>
      <c r="C271" s="5" t="s">
        <v>382</v>
      </c>
      <c r="D271" s="5" t="s">
        <v>481</v>
      </c>
      <c r="E271" s="8">
        <v>1</v>
      </c>
      <c r="F271" s="7">
        <v>120</v>
      </c>
      <c r="G271" s="7">
        <f t="shared" si="4"/>
        <v>120</v>
      </c>
    </row>
    <row r="272" spans="1:7" x14ac:dyDescent="0.3">
      <c r="A272" s="5" t="s">
        <v>349</v>
      </c>
      <c r="B272" s="8">
        <v>2</v>
      </c>
      <c r="C272" s="5" t="s">
        <v>395</v>
      </c>
      <c r="D272" s="5" t="s">
        <v>491</v>
      </c>
      <c r="E272" s="8">
        <v>1</v>
      </c>
      <c r="F272" s="7">
        <v>120</v>
      </c>
      <c r="G272" s="7">
        <f t="shared" si="4"/>
        <v>120</v>
      </c>
    </row>
    <row r="273" spans="1:7" x14ac:dyDescent="0.3">
      <c r="A273" s="5" t="s">
        <v>350</v>
      </c>
      <c r="B273" s="8">
        <v>1</v>
      </c>
      <c r="C273" s="5" t="s">
        <v>382</v>
      </c>
      <c r="D273" s="5" t="s">
        <v>462</v>
      </c>
      <c r="E273" s="8">
        <v>1</v>
      </c>
      <c r="F273" s="7">
        <v>120</v>
      </c>
      <c r="G273" s="7">
        <f t="shared" si="4"/>
        <v>120</v>
      </c>
    </row>
    <row r="274" spans="1:7" x14ac:dyDescent="0.3">
      <c r="A274" s="5" t="s">
        <v>351</v>
      </c>
      <c r="B274" s="8">
        <v>1</v>
      </c>
      <c r="C274" s="5" t="s">
        <v>395</v>
      </c>
      <c r="D274" s="5" t="s">
        <v>492</v>
      </c>
      <c r="E274" s="8">
        <v>1</v>
      </c>
      <c r="F274" s="7">
        <v>120</v>
      </c>
      <c r="G274" s="7">
        <f t="shared" si="4"/>
        <v>120</v>
      </c>
    </row>
    <row r="275" spans="1:7" x14ac:dyDescent="0.3">
      <c r="A275" s="5" t="s">
        <v>352</v>
      </c>
      <c r="B275" s="8">
        <v>1</v>
      </c>
      <c r="C275" s="5" t="s">
        <v>395</v>
      </c>
      <c r="D275" s="5" t="s">
        <v>461</v>
      </c>
      <c r="E275" s="8">
        <v>1</v>
      </c>
      <c r="F275" s="7">
        <v>120</v>
      </c>
      <c r="G275" s="7">
        <f t="shared" si="4"/>
        <v>120</v>
      </c>
    </row>
    <row r="276" spans="1:7" x14ac:dyDescent="0.3">
      <c r="A276" s="5" t="s">
        <v>352</v>
      </c>
      <c r="B276" s="8">
        <v>2</v>
      </c>
      <c r="C276" s="5" t="s">
        <v>390</v>
      </c>
      <c r="D276" s="5" t="s">
        <v>471</v>
      </c>
      <c r="E276" s="8">
        <v>1</v>
      </c>
      <c r="F276" s="7">
        <v>120</v>
      </c>
      <c r="G276" s="7">
        <f t="shared" si="4"/>
        <v>120</v>
      </c>
    </row>
    <row r="277" spans="1:7" x14ac:dyDescent="0.3">
      <c r="A277" s="5" t="s">
        <v>352</v>
      </c>
      <c r="B277" s="8">
        <v>3</v>
      </c>
      <c r="C277" s="5" t="s">
        <v>387</v>
      </c>
      <c r="D277" s="5" t="s">
        <v>463</v>
      </c>
      <c r="E277" s="8">
        <v>1</v>
      </c>
      <c r="F277" s="7">
        <v>120</v>
      </c>
      <c r="G277" s="7">
        <f t="shared" si="4"/>
        <v>120</v>
      </c>
    </row>
    <row r="278" spans="1:7" x14ac:dyDescent="0.3">
      <c r="A278" s="5" t="s">
        <v>353</v>
      </c>
      <c r="B278" s="8">
        <v>1</v>
      </c>
      <c r="C278" s="5" t="s">
        <v>382</v>
      </c>
      <c r="D278" s="5" t="s">
        <v>489</v>
      </c>
      <c r="E278" s="8">
        <v>1</v>
      </c>
      <c r="F278" s="7">
        <v>180</v>
      </c>
      <c r="G278" s="7">
        <f t="shared" si="4"/>
        <v>180</v>
      </c>
    </row>
    <row r="279" spans="1:7" x14ac:dyDescent="0.3">
      <c r="A279" s="5" t="s">
        <v>353</v>
      </c>
      <c r="B279" s="8">
        <v>2</v>
      </c>
      <c r="C279" s="5" t="s">
        <v>400</v>
      </c>
      <c r="D279" s="5" t="s">
        <v>474</v>
      </c>
      <c r="E279" s="8">
        <v>1</v>
      </c>
      <c r="F279" s="7">
        <v>180</v>
      </c>
      <c r="G279" s="7">
        <f t="shared" si="4"/>
        <v>180</v>
      </c>
    </row>
    <row r="280" spans="1:7" x14ac:dyDescent="0.3">
      <c r="A280" s="5" t="s">
        <v>354</v>
      </c>
      <c r="B280" s="8">
        <v>1</v>
      </c>
      <c r="C280" s="5" t="s">
        <v>387</v>
      </c>
      <c r="D280" s="5" t="s">
        <v>483</v>
      </c>
      <c r="E280" s="8">
        <v>1</v>
      </c>
      <c r="F280" s="7">
        <v>120</v>
      </c>
      <c r="G280" s="7">
        <f t="shared" si="4"/>
        <v>120</v>
      </c>
    </row>
    <row r="281" spans="1:7" x14ac:dyDescent="0.3">
      <c r="A281" s="5" t="s">
        <v>354</v>
      </c>
      <c r="B281" s="8">
        <v>2</v>
      </c>
      <c r="C281" s="5" t="s">
        <v>384</v>
      </c>
      <c r="D281" s="5" t="s">
        <v>482</v>
      </c>
      <c r="E281" s="8">
        <v>1</v>
      </c>
      <c r="F281" s="7">
        <v>120</v>
      </c>
      <c r="G281" s="7">
        <f t="shared" si="4"/>
        <v>120</v>
      </c>
    </row>
    <row r="282" spans="1:7" x14ac:dyDescent="0.3">
      <c r="A282" s="5" t="s">
        <v>354</v>
      </c>
      <c r="B282" s="8">
        <v>3</v>
      </c>
      <c r="C282" s="5" t="s">
        <v>390</v>
      </c>
      <c r="D282" s="5" t="s">
        <v>469</v>
      </c>
      <c r="E282" s="8">
        <v>1</v>
      </c>
      <c r="F282" s="7">
        <v>120</v>
      </c>
      <c r="G282" s="7">
        <f t="shared" si="4"/>
        <v>120</v>
      </c>
    </row>
    <row r="283" spans="1:7" x14ac:dyDescent="0.3">
      <c r="A283" s="5" t="s">
        <v>355</v>
      </c>
      <c r="B283" s="8">
        <v>1</v>
      </c>
      <c r="C283" s="5" t="s">
        <v>395</v>
      </c>
      <c r="D283" s="5" t="s">
        <v>472</v>
      </c>
      <c r="E283" s="8">
        <v>1</v>
      </c>
      <c r="F283" s="7">
        <v>150</v>
      </c>
      <c r="G283" s="7">
        <f t="shared" si="4"/>
        <v>150</v>
      </c>
    </row>
    <row r="284" spans="1:7" x14ac:dyDescent="0.3">
      <c r="A284" s="5" t="s">
        <v>355</v>
      </c>
      <c r="B284" s="8">
        <v>2</v>
      </c>
      <c r="C284" s="5" t="s">
        <v>382</v>
      </c>
      <c r="D284" s="5" t="s">
        <v>470</v>
      </c>
      <c r="E284" s="8">
        <v>1</v>
      </c>
      <c r="F284" s="7">
        <v>150</v>
      </c>
      <c r="G284" s="7">
        <f t="shared" si="4"/>
        <v>150</v>
      </c>
    </row>
    <row r="285" spans="1:7" x14ac:dyDescent="0.3">
      <c r="A285" s="5" t="s">
        <v>355</v>
      </c>
      <c r="B285" s="8">
        <v>3</v>
      </c>
      <c r="C285" s="5" t="s">
        <v>387</v>
      </c>
      <c r="D285" s="5" t="s">
        <v>493</v>
      </c>
      <c r="E285" s="8">
        <v>1</v>
      </c>
      <c r="F285" s="7">
        <v>150</v>
      </c>
      <c r="G285" s="7">
        <f t="shared" si="4"/>
        <v>150</v>
      </c>
    </row>
    <row r="286" spans="1:7" x14ac:dyDescent="0.3">
      <c r="A286" s="5" t="s">
        <v>356</v>
      </c>
      <c r="B286" s="8">
        <v>1</v>
      </c>
      <c r="C286" s="5" t="s">
        <v>395</v>
      </c>
      <c r="D286" s="5" t="s">
        <v>461</v>
      </c>
      <c r="E286" s="8">
        <v>1</v>
      </c>
      <c r="F286" s="7">
        <v>120</v>
      </c>
      <c r="G286" s="7">
        <f t="shared" si="4"/>
        <v>120</v>
      </c>
    </row>
    <row r="287" spans="1:7" x14ac:dyDescent="0.3">
      <c r="A287" s="5" t="s">
        <v>356</v>
      </c>
      <c r="B287" s="8">
        <v>2</v>
      </c>
      <c r="C287" s="5" t="s">
        <v>390</v>
      </c>
      <c r="D287" s="5" t="s">
        <v>471</v>
      </c>
      <c r="E287" s="8">
        <v>1</v>
      </c>
      <c r="F287" s="7">
        <v>120</v>
      </c>
      <c r="G287" s="7">
        <f t="shared" si="4"/>
        <v>120</v>
      </c>
    </row>
    <row r="288" spans="1:7" x14ac:dyDescent="0.3">
      <c r="A288" s="5" t="s">
        <v>356</v>
      </c>
      <c r="B288" s="8">
        <v>3</v>
      </c>
      <c r="C288" s="5" t="s">
        <v>387</v>
      </c>
      <c r="D288" s="5" t="s">
        <v>463</v>
      </c>
      <c r="E288" s="8">
        <v>1</v>
      </c>
      <c r="F288" s="7">
        <v>120</v>
      </c>
      <c r="G288" s="7">
        <f t="shared" si="4"/>
        <v>120</v>
      </c>
    </row>
    <row r="289" spans="1:7" x14ac:dyDescent="0.3">
      <c r="A289" s="5" t="s">
        <v>357</v>
      </c>
      <c r="B289" s="8">
        <v>1</v>
      </c>
      <c r="C289" s="5" t="s">
        <v>382</v>
      </c>
      <c r="D289" s="5" t="s">
        <v>462</v>
      </c>
      <c r="E289" s="8">
        <v>1</v>
      </c>
      <c r="F289" s="7">
        <v>120</v>
      </c>
      <c r="G289" s="7">
        <f t="shared" si="4"/>
        <v>120</v>
      </c>
    </row>
    <row r="290" spans="1:7" x14ac:dyDescent="0.3">
      <c r="A290" s="5" t="s">
        <v>357</v>
      </c>
      <c r="B290" s="8">
        <v>2</v>
      </c>
      <c r="C290" s="5" t="s">
        <v>395</v>
      </c>
      <c r="D290" s="5" t="s">
        <v>461</v>
      </c>
      <c r="E290" s="8">
        <v>1</v>
      </c>
      <c r="F290" s="7">
        <v>120</v>
      </c>
      <c r="G290" s="7">
        <f t="shared" si="4"/>
        <v>120</v>
      </c>
    </row>
    <row r="291" spans="1:7" x14ac:dyDescent="0.3">
      <c r="A291" s="5" t="s">
        <v>358</v>
      </c>
      <c r="B291" s="8">
        <v>1</v>
      </c>
      <c r="C291" s="5" t="s">
        <v>395</v>
      </c>
      <c r="D291" s="5" t="s">
        <v>477</v>
      </c>
      <c r="E291" s="8">
        <v>1</v>
      </c>
      <c r="F291" s="7">
        <v>150</v>
      </c>
      <c r="G291" s="7">
        <f t="shared" si="4"/>
        <v>150</v>
      </c>
    </row>
    <row r="292" spans="1:7" x14ac:dyDescent="0.3">
      <c r="A292" s="5" t="s">
        <v>359</v>
      </c>
      <c r="B292" s="8">
        <v>1</v>
      </c>
      <c r="C292" s="5" t="s">
        <v>412</v>
      </c>
      <c r="D292" s="5" t="s">
        <v>486</v>
      </c>
      <c r="E292" s="8">
        <v>1</v>
      </c>
      <c r="F292" s="7">
        <v>180</v>
      </c>
      <c r="G292" s="7">
        <f t="shared" si="4"/>
        <v>180</v>
      </c>
    </row>
    <row r="293" spans="1:7" x14ac:dyDescent="0.3">
      <c r="A293" s="5" t="s">
        <v>359</v>
      </c>
      <c r="B293" s="8">
        <v>2</v>
      </c>
      <c r="C293" s="5" t="s">
        <v>382</v>
      </c>
      <c r="D293" s="5" t="s">
        <v>484</v>
      </c>
      <c r="E293" s="8">
        <v>1</v>
      </c>
      <c r="F293" s="7">
        <v>180</v>
      </c>
      <c r="G293" s="7">
        <f t="shared" si="4"/>
        <v>180</v>
      </c>
    </row>
    <row r="294" spans="1:7" x14ac:dyDescent="0.3">
      <c r="A294" s="5" t="s">
        <v>360</v>
      </c>
      <c r="B294" s="8">
        <v>1</v>
      </c>
      <c r="C294" s="5" t="s">
        <v>384</v>
      </c>
      <c r="D294" s="5" t="s">
        <v>476</v>
      </c>
      <c r="E294" s="8">
        <v>1</v>
      </c>
      <c r="F294" s="7">
        <v>150</v>
      </c>
      <c r="G294" s="7">
        <f t="shared" si="4"/>
        <v>150</v>
      </c>
    </row>
    <row r="295" spans="1:7" x14ac:dyDescent="0.3">
      <c r="A295" s="5" t="s">
        <v>360</v>
      </c>
      <c r="B295" s="8">
        <v>2</v>
      </c>
      <c r="C295" s="5" t="s">
        <v>387</v>
      </c>
      <c r="D295" s="5" t="s">
        <v>487</v>
      </c>
      <c r="E295" s="8">
        <v>1</v>
      </c>
      <c r="F295" s="7">
        <v>150</v>
      </c>
      <c r="G295" s="7">
        <f t="shared" si="4"/>
        <v>150</v>
      </c>
    </row>
    <row r="296" spans="1:7" x14ac:dyDescent="0.3">
      <c r="A296" s="5" t="s">
        <v>361</v>
      </c>
      <c r="B296" s="8">
        <v>1</v>
      </c>
      <c r="C296" s="5" t="s">
        <v>390</v>
      </c>
      <c r="D296" s="5" t="s">
        <v>480</v>
      </c>
      <c r="E296" s="8">
        <v>1</v>
      </c>
      <c r="F296" s="7">
        <v>120</v>
      </c>
      <c r="G296" s="7">
        <f t="shared" si="4"/>
        <v>120</v>
      </c>
    </row>
    <row r="297" spans="1:7" x14ac:dyDescent="0.3">
      <c r="A297" s="5" t="s">
        <v>361</v>
      </c>
      <c r="B297" s="8">
        <v>2</v>
      </c>
      <c r="C297" s="5" t="s">
        <v>382</v>
      </c>
      <c r="D297" s="5" t="s">
        <v>481</v>
      </c>
      <c r="E297" s="8">
        <v>1</v>
      </c>
      <c r="F297" s="7">
        <v>120</v>
      </c>
      <c r="G297" s="7">
        <f t="shared" si="4"/>
        <v>120</v>
      </c>
    </row>
    <row r="298" spans="1:7" x14ac:dyDescent="0.3">
      <c r="A298" s="5" t="s">
        <v>362</v>
      </c>
      <c r="B298" s="8">
        <v>1</v>
      </c>
      <c r="C298" s="5" t="s">
        <v>384</v>
      </c>
      <c r="D298" s="5" t="s">
        <v>485</v>
      </c>
      <c r="E298" s="8">
        <v>1</v>
      </c>
      <c r="F298" s="7">
        <v>180</v>
      </c>
      <c r="G298" s="7">
        <f t="shared" si="4"/>
        <v>180</v>
      </c>
    </row>
    <row r="299" spans="1:7" x14ac:dyDescent="0.3">
      <c r="A299" s="5" t="s">
        <v>362</v>
      </c>
      <c r="B299" s="8">
        <v>2</v>
      </c>
      <c r="C299" s="5" t="s">
        <v>400</v>
      </c>
      <c r="D299" s="5" t="s">
        <v>494</v>
      </c>
      <c r="E299" s="8">
        <v>1</v>
      </c>
      <c r="F299" s="7">
        <v>180</v>
      </c>
      <c r="G299" s="7">
        <f t="shared" si="4"/>
        <v>180</v>
      </c>
    </row>
    <row r="300" spans="1:7" x14ac:dyDescent="0.3">
      <c r="A300" s="5" t="s">
        <v>362</v>
      </c>
      <c r="B300" s="8">
        <v>3</v>
      </c>
      <c r="C300" s="5" t="s">
        <v>412</v>
      </c>
      <c r="D300" s="5" t="s">
        <v>486</v>
      </c>
      <c r="E300" s="8">
        <v>1</v>
      </c>
      <c r="F300" s="7">
        <v>180</v>
      </c>
      <c r="G300" s="7">
        <f t="shared" si="4"/>
        <v>180</v>
      </c>
    </row>
    <row r="301" spans="1:7" x14ac:dyDescent="0.3">
      <c r="A301" s="5" t="s">
        <v>363</v>
      </c>
      <c r="B301" s="8">
        <v>1</v>
      </c>
      <c r="C301" s="5" t="s">
        <v>387</v>
      </c>
      <c r="D301" s="5" t="s">
        <v>493</v>
      </c>
      <c r="E301" s="8">
        <v>1</v>
      </c>
      <c r="F301" s="7">
        <v>150</v>
      </c>
      <c r="G301" s="7">
        <f t="shared" si="4"/>
        <v>150</v>
      </c>
    </row>
    <row r="302" spans="1:7" x14ac:dyDescent="0.3">
      <c r="A302" s="5" t="s">
        <v>364</v>
      </c>
      <c r="B302" s="8">
        <v>1</v>
      </c>
      <c r="C302" s="5" t="s">
        <v>412</v>
      </c>
      <c r="D302" s="5" t="s">
        <v>488</v>
      </c>
      <c r="E302" s="8">
        <v>1</v>
      </c>
      <c r="F302" s="7">
        <v>180</v>
      </c>
      <c r="G302" s="7">
        <f t="shared" si="4"/>
        <v>180</v>
      </c>
    </row>
    <row r="303" spans="1:7" x14ac:dyDescent="0.3">
      <c r="A303" s="5" t="s">
        <v>365</v>
      </c>
      <c r="B303" s="8">
        <v>1</v>
      </c>
      <c r="C303" s="5" t="s">
        <v>384</v>
      </c>
      <c r="D303" s="5" t="s">
        <v>466</v>
      </c>
      <c r="E303" s="8">
        <v>1</v>
      </c>
      <c r="F303" s="7">
        <v>180</v>
      </c>
      <c r="G303" s="7">
        <f t="shared" si="4"/>
        <v>180</v>
      </c>
    </row>
    <row r="304" spans="1:7" x14ac:dyDescent="0.3">
      <c r="A304" s="5" t="s">
        <v>365</v>
      </c>
      <c r="B304" s="8">
        <v>2</v>
      </c>
      <c r="C304" s="5" t="s">
        <v>400</v>
      </c>
      <c r="D304" s="5" t="s">
        <v>474</v>
      </c>
      <c r="E304" s="8">
        <v>1</v>
      </c>
      <c r="F304" s="7">
        <v>180</v>
      </c>
      <c r="G304" s="7">
        <f t="shared" si="4"/>
        <v>180</v>
      </c>
    </row>
    <row r="305" spans="1:7" x14ac:dyDescent="0.3">
      <c r="A305" s="5" t="s">
        <v>366</v>
      </c>
      <c r="B305" s="8">
        <v>1</v>
      </c>
      <c r="C305" s="5" t="s">
        <v>412</v>
      </c>
      <c r="D305" s="5" t="s">
        <v>488</v>
      </c>
      <c r="E305" s="8">
        <v>1</v>
      </c>
      <c r="F305" s="7">
        <v>180</v>
      </c>
      <c r="G305" s="7">
        <f t="shared" si="4"/>
        <v>180</v>
      </c>
    </row>
    <row r="306" spans="1:7" x14ac:dyDescent="0.3">
      <c r="A306" s="5" t="s">
        <v>367</v>
      </c>
      <c r="B306" s="8">
        <v>1</v>
      </c>
      <c r="C306" s="5" t="s">
        <v>382</v>
      </c>
      <c r="D306" s="5" t="s">
        <v>489</v>
      </c>
      <c r="E306" s="8">
        <v>1</v>
      </c>
      <c r="F306" s="7">
        <v>180</v>
      </c>
      <c r="G306" s="7">
        <f t="shared" si="4"/>
        <v>180</v>
      </c>
    </row>
    <row r="307" spans="1:7" x14ac:dyDescent="0.3">
      <c r="A307" s="5" t="s">
        <v>368</v>
      </c>
      <c r="B307" s="8">
        <v>1</v>
      </c>
      <c r="C307" s="5" t="s">
        <v>382</v>
      </c>
      <c r="D307" s="5" t="s">
        <v>462</v>
      </c>
      <c r="E307" s="8">
        <v>1</v>
      </c>
      <c r="F307" s="7">
        <v>120</v>
      </c>
      <c r="G307" s="7">
        <f t="shared" si="4"/>
        <v>120</v>
      </c>
    </row>
    <row r="308" spans="1:7" x14ac:dyDescent="0.3">
      <c r="A308" s="5" t="s">
        <v>369</v>
      </c>
      <c r="B308" s="8">
        <v>1</v>
      </c>
      <c r="C308" s="5" t="s">
        <v>400</v>
      </c>
      <c r="D308" s="5" t="s">
        <v>494</v>
      </c>
      <c r="E308" s="8">
        <v>1</v>
      </c>
      <c r="F308" s="7">
        <v>180</v>
      </c>
      <c r="G308" s="7">
        <f t="shared" si="4"/>
        <v>180</v>
      </c>
    </row>
    <row r="309" spans="1:7" x14ac:dyDescent="0.3">
      <c r="A309" s="5" t="s">
        <v>369</v>
      </c>
      <c r="B309" s="8">
        <v>2</v>
      </c>
      <c r="C309" s="5" t="s">
        <v>382</v>
      </c>
      <c r="D309" s="5" t="s">
        <v>484</v>
      </c>
      <c r="E309" s="8">
        <v>1</v>
      </c>
      <c r="F309" s="7">
        <v>180</v>
      </c>
      <c r="G309" s="7">
        <f t="shared" si="4"/>
        <v>180</v>
      </c>
    </row>
    <row r="310" spans="1:7" x14ac:dyDescent="0.3">
      <c r="A310" s="5" t="s">
        <v>369</v>
      </c>
      <c r="B310" s="8">
        <v>3</v>
      </c>
      <c r="C310" s="5" t="s">
        <v>384</v>
      </c>
      <c r="D310" s="5" t="s">
        <v>485</v>
      </c>
      <c r="E310" s="8">
        <v>1</v>
      </c>
      <c r="F310" s="7">
        <v>180</v>
      </c>
      <c r="G310" s="7">
        <f t="shared" si="4"/>
        <v>180</v>
      </c>
    </row>
    <row r="311" spans="1:7" x14ac:dyDescent="0.3">
      <c r="A311" s="5" t="s">
        <v>370</v>
      </c>
      <c r="B311" s="8">
        <v>1</v>
      </c>
      <c r="C311" s="5" t="s">
        <v>382</v>
      </c>
      <c r="D311" s="5" t="s">
        <v>468</v>
      </c>
      <c r="E311" s="8">
        <v>1</v>
      </c>
      <c r="F311" s="7">
        <v>120</v>
      </c>
      <c r="G311" s="7">
        <f t="shared" si="4"/>
        <v>120</v>
      </c>
    </row>
    <row r="312" spans="1:7" x14ac:dyDescent="0.3">
      <c r="A312" s="5" t="s">
        <v>371</v>
      </c>
      <c r="B312" s="8">
        <v>1</v>
      </c>
      <c r="C312" s="5" t="s">
        <v>395</v>
      </c>
      <c r="D312" s="5" t="s">
        <v>477</v>
      </c>
      <c r="E312" s="8">
        <v>1</v>
      </c>
      <c r="F312" s="7">
        <v>150</v>
      </c>
      <c r="G312" s="7">
        <f t="shared" si="4"/>
        <v>150</v>
      </c>
    </row>
    <row r="313" spans="1:7" x14ac:dyDescent="0.3">
      <c r="A313" s="5" t="s">
        <v>371</v>
      </c>
      <c r="B313" s="8">
        <v>2</v>
      </c>
      <c r="C313" s="5" t="s">
        <v>382</v>
      </c>
      <c r="D313" s="5" t="s">
        <v>495</v>
      </c>
      <c r="E313" s="8">
        <v>1</v>
      </c>
      <c r="F313" s="7">
        <v>150</v>
      </c>
      <c r="G313" s="7">
        <f t="shared" si="4"/>
        <v>150</v>
      </c>
    </row>
    <row r="314" spans="1:7" x14ac:dyDescent="0.3">
      <c r="A314" s="5" t="s">
        <v>372</v>
      </c>
      <c r="B314" s="8">
        <v>1</v>
      </c>
      <c r="C314" s="5" t="s">
        <v>390</v>
      </c>
      <c r="D314" s="5" t="s">
        <v>480</v>
      </c>
      <c r="E314" s="8">
        <v>1</v>
      </c>
      <c r="F314" s="7">
        <v>120</v>
      </c>
      <c r="G314" s="7">
        <f t="shared" si="4"/>
        <v>120</v>
      </c>
    </row>
    <row r="315" spans="1:7" x14ac:dyDescent="0.3">
      <c r="A315" s="5" t="s">
        <v>373</v>
      </c>
      <c r="B315" s="8">
        <v>1</v>
      </c>
      <c r="C315" s="5" t="s">
        <v>395</v>
      </c>
      <c r="D315" s="5" t="s">
        <v>477</v>
      </c>
      <c r="E315" s="8">
        <v>1</v>
      </c>
      <c r="F315" s="7">
        <v>150</v>
      </c>
      <c r="G315" s="7">
        <f t="shared" si="4"/>
        <v>150</v>
      </c>
    </row>
    <row r="316" spans="1:7" x14ac:dyDescent="0.3">
      <c r="A316" s="5" t="s">
        <v>374</v>
      </c>
      <c r="B316" s="8">
        <v>1</v>
      </c>
      <c r="C316" s="5" t="s">
        <v>398</v>
      </c>
      <c r="D316" s="5" t="s">
        <v>490</v>
      </c>
      <c r="E316" s="8">
        <v>1</v>
      </c>
      <c r="F316" s="7">
        <v>180</v>
      </c>
      <c r="G316" s="7">
        <f t="shared" si="4"/>
        <v>180</v>
      </c>
    </row>
    <row r="317" spans="1:7" x14ac:dyDescent="0.3">
      <c r="A317" s="5" t="s">
        <v>374</v>
      </c>
      <c r="B317" s="8">
        <v>2</v>
      </c>
      <c r="C317" s="5" t="s">
        <v>382</v>
      </c>
      <c r="D317" s="5" t="s">
        <v>484</v>
      </c>
      <c r="E317" s="8">
        <v>1</v>
      </c>
      <c r="F317" s="7">
        <v>180</v>
      </c>
      <c r="G317" s="7">
        <f t="shared" si="4"/>
        <v>180</v>
      </c>
    </row>
    <row r="318" spans="1:7" x14ac:dyDescent="0.3">
      <c r="A318" s="5" t="s">
        <v>375</v>
      </c>
      <c r="B318" s="8">
        <v>1</v>
      </c>
      <c r="C318" s="5" t="s">
        <v>382</v>
      </c>
      <c r="D318" s="5" t="s">
        <v>489</v>
      </c>
      <c r="E318" s="8">
        <v>1</v>
      </c>
      <c r="F318" s="7">
        <v>180</v>
      </c>
      <c r="G318" s="7">
        <f t="shared" si="4"/>
        <v>180</v>
      </c>
    </row>
    <row r="319" spans="1:7" x14ac:dyDescent="0.3">
      <c r="A319" s="5" t="s">
        <v>375</v>
      </c>
      <c r="B319" s="8">
        <v>2</v>
      </c>
      <c r="C319" s="5" t="s">
        <v>412</v>
      </c>
      <c r="D319" s="5" t="s">
        <v>488</v>
      </c>
      <c r="E319" s="8">
        <v>1</v>
      </c>
      <c r="F319" s="7">
        <v>180</v>
      </c>
      <c r="G319" s="7">
        <f t="shared" si="4"/>
        <v>180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4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5" customWidth="1"/>
    <col min="3" max="3" width="12" customWidth="1"/>
    <col min="4" max="4" width="11" customWidth="1"/>
    <col min="5" max="5" width="16" customWidth="1"/>
  </cols>
  <sheetData>
    <row r="1" spans="1:5" x14ac:dyDescent="0.3">
      <c r="A1" s="4" t="s">
        <v>496</v>
      </c>
      <c r="B1" s="4" t="s">
        <v>206</v>
      </c>
      <c r="C1" s="4" t="s">
        <v>497</v>
      </c>
      <c r="D1" s="4" t="s">
        <v>498</v>
      </c>
      <c r="E1" s="4" t="s">
        <v>499</v>
      </c>
    </row>
    <row r="2" spans="1:5" x14ac:dyDescent="0.3">
      <c r="A2" s="5" t="s">
        <v>500</v>
      </c>
      <c r="B2" s="5" t="s">
        <v>213</v>
      </c>
      <c r="C2" s="6">
        <v>46213</v>
      </c>
      <c r="D2" s="7">
        <v>300</v>
      </c>
      <c r="E2" s="5" t="s">
        <v>501</v>
      </c>
    </row>
    <row r="3" spans="1:5" x14ac:dyDescent="0.3">
      <c r="A3" s="5" t="s">
        <v>502</v>
      </c>
      <c r="B3" s="5" t="s">
        <v>214</v>
      </c>
      <c r="C3" s="6">
        <v>46207</v>
      </c>
      <c r="D3" s="7">
        <v>180</v>
      </c>
      <c r="E3" s="5" t="s">
        <v>503</v>
      </c>
    </row>
    <row r="4" spans="1:5" x14ac:dyDescent="0.3">
      <c r="A4" s="5" t="s">
        <v>504</v>
      </c>
      <c r="B4" s="5" t="s">
        <v>215</v>
      </c>
      <c r="C4" s="6">
        <v>46218</v>
      </c>
      <c r="D4" s="7">
        <v>300</v>
      </c>
      <c r="E4" s="5" t="s">
        <v>505</v>
      </c>
    </row>
    <row r="5" spans="1:5" x14ac:dyDescent="0.3">
      <c r="A5" s="5" t="s">
        <v>506</v>
      </c>
      <c r="B5" s="5" t="s">
        <v>216</v>
      </c>
      <c r="C5" s="6">
        <v>46205</v>
      </c>
      <c r="D5" s="7">
        <v>180</v>
      </c>
      <c r="E5" s="5" t="s">
        <v>505</v>
      </c>
    </row>
    <row r="6" spans="1:5" x14ac:dyDescent="0.3">
      <c r="A6" s="5" t="s">
        <v>507</v>
      </c>
      <c r="B6" s="5" t="s">
        <v>217</v>
      </c>
      <c r="C6" s="6">
        <v>46206</v>
      </c>
      <c r="D6" s="7">
        <v>240</v>
      </c>
      <c r="E6" s="5" t="s">
        <v>501</v>
      </c>
    </row>
    <row r="7" spans="1:5" x14ac:dyDescent="0.3">
      <c r="A7" s="5" t="s">
        <v>508</v>
      </c>
      <c r="B7" s="5" t="s">
        <v>218</v>
      </c>
      <c r="C7" s="6">
        <v>46209</v>
      </c>
      <c r="D7" s="7">
        <v>150</v>
      </c>
      <c r="E7" s="5" t="s">
        <v>501</v>
      </c>
    </row>
    <row r="8" spans="1:5" x14ac:dyDescent="0.3">
      <c r="A8" s="5" t="s">
        <v>509</v>
      </c>
      <c r="B8" s="5" t="s">
        <v>219</v>
      </c>
      <c r="C8" s="6">
        <v>46205</v>
      </c>
      <c r="D8" s="7">
        <v>120</v>
      </c>
      <c r="E8" s="5" t="s">
        <v>501</v>
      </c>
    </row>
    <row r="9" spans="1:5" x14ac:dyDescent="0.3">
      <c r="A9" s="5" t="s">
        <v>510</v>
      </c>
      <c r="B9" s="5" t="s">
        <v>220</v>
      </c>
      <c r="C9" s="6">
        <v>46210</v>
      </c>
      <c r="D9" s="7">
        <v>240</v>
      </c>
      <c r="E9" s="5" t="s">
        <v>501</v>
      </c>
    </row>
    <row r="10" spans="1:5" x14ac:dyDescent="0.3">
      <c r="A10" s="5" t="s">
        <v>511</v>
      </c>
      <c r="B10" s="5" t="s">
        <v>221</v>
      </c>
      <c r="C10" s="6">
        <v>46206</v>
      </c>
      <c r="D10" s="7">
        <v>360</v>
      </c>
      <c r="E10" s="5" t="s">
        <v>501</v>
      </c>
    </row>
    <row r="11" spans="1:5" x14ac:dyDescent="0.3">
      <c r="A11" s="5" t="s">
        <v>512</v>
      </c>
      <c r="B11" s="5" t="s">
        <v>222</v>
      </c>
      <c r="C11" s="6">
        <v>46205</v>
      </c>
      <c r="D11" s="7">
        <v>150</v>
      </c>
      <c r="E11" s="5" t="s">
        <v>505</v>
      </c>
    </row>
    <row r="12" spans="1:5" x14ac:dyDescent="0.3">
      <c r="A12" s="5" t="s">
        <v>513</v>
      </c>
      <c r="B12" s="5" t="s">
        <v>223</v>
      </c>
      <c r="C12" s="6">
        <v>46224</v>
      </c>
      <c r="D12" s="7">
        <v>540</v>
      </c>
      <c r="E12" s="5" t="s">
        <v>501</v>
      </c>
    </row>
    <row r="13" spans="1:5" x14ac:dyDescent="0.3">
      <c r="A13" s="5" t="s">
        <v>514</v>
      </c>
      <c r="B13" s="5" t="s">
        <v>224</v>
      </c>
      <c r="C13" s="6">
        <v>46205</v>
      </c>
      <c r="D13" s="7">
        <v>360</v>
      </c>
      <c r="E13" s="5" t="s">
        <v>515</v>
      </c>
    </row>
    <row r="14" spans="1:5" x14ac:dyDescent="0.3">
      <c r="A14" s="5" t="s">
        <v>516</v>
      </c>
      <c r="B14" s="5" t="s">
        <v>225</v>
      </c>
      <c r="C14" s="6">
        <v>46205</v>
      </c>
      <c r="D14" s="7">
        <v>300</v>
      </c>
      <c r="E14" s="5" t="s">
        <v>501</v>
      </c>
    </row>
    <row r="15" spans="1:5" x14ac:dyDescent="0.3">
      <c r="A15" s="5" t="s">
        <v>517</v>
      </c>
      <c r="B15" s="5" t="s">
        <v>226</v>
      </c>
      <c r="C15" s="6">
        <v>46207</v>
      </c>
      <c r="D15" s="7">
        <v>300</v>
      </c>
      <c r="E15" s="5" t="s">
        <v>503</v>
      </c>
    </row>
    <row r="16" spans="1:5" x14ac:dyDescent="0.3">
      <c r="A16" s="5" t="s">
        <v>518</v>
      </c>
      <c r="B16" s="5" t="s">
        <v>227</v>
      </c>
      <c r="C16" s="6">
        <v>46207</v>
      </c>
      <c r="D16" s="7">
        <v>360</v>
      </c>
      <c r="E16" s="5" t="s">
        <v>503</v>
      </c>
    </row>
    <row r="17" spans="1:5" x14ac:dyDescent="0.3">
      <c r="A17" s="5" t="s">
        <v>519</v>
      </c>
      <c r="B17" s="5" t="s">
        <v>228</v>
      </c>
      <c r="C17" s="6">
        <v>46208</v>
      </c>
      <c r="D17" s="7">
        <v>240</v>
      </c>
      <c r="E17" s="5" t="s">
        <v>501</v>
      </c>
    </row>
    <row r="18" spans="1:5" x14ac:dyDescent="0.3">
      <c r="A18" s="5" t="s">
        <v>520</v>
      </c>
      <c r="B18" s="5" t="s">
        <v>229</v>
      </c>
      <c r="C18" s="6">
        <v>46219</v>
      </c>
      <c r="D18" s="7">
        <v>360</v>
      </c>
      <c r="E18" s="5" t="s">
        <v>501</v>
      </c>
    </row>
    <row r="19" spans="1:5" x14ac:dyDescent="0.3">
      <c r="A19" s="5" t="s">
        <v>521</v>
      </c>
      <c r="B19" s="5" t="s">
        <v>230</v>
      </c>
      <c r="C19" s="6">
        <v>46206</v>
      </c>
      <c r="D19" s="7">
        <v>540</v>
      </c>
      <c r="E19" s="5" t="s">
        <v>515</v>
      </c>
    </row>
    <row r="20" spans="1:5" x14ac:dyDescent="0.3">
      <c r="A20" s="5" t="s">
        <v>522</v>
      </c>
      <c r="B20" s="5" t="s">
        <v>231</v>
      </c>
      <c r="C20" s="6">
        <v>46206</v>
      </c>
      <c r="D20" s="7">
        <v>360</v>
      </c>
      <c r="E20" s="5" t="s">
        <v>501</v>
      </c>
    </row>
    <row r="21" spans="1:5" x14ac:dyDescent="0.3">
      <c r="A21" s="5" t="s">
        <v>523</v>
      </c>
      <c r="B21" s="5" t="s">
        <v>232</v>
      </c>
      <c r="C21" s="6">
        <v>46210</v>
      </c>
      <c r="D21" s="7">
        <v>240</v>
      </c>
      <c r="E21" s="5" t="s">
        <v>505</v>
      </c>
    </row>
    <row r="22" spans="1:5" x14ac:dyDescent="0.3">
      <c r="A22" s="5" t="s">
        <v>524</v>
      </c>
      <c r="B22" s="5" t="s">
        <v>233</v>
      </c>
      <c r="C22" s="6">
        <v>46226</v>
      </c>
      <c r="D22" s="7">
        <v>150</v>
      </c>
      <c r="E22" s="5" t="s">
        <v>501</v>
      </c>
    </row>
    <row r="23" spans="1:5" x14ac:dyDescent="0.3">
      <c r="A23" s="5" t="s">
        <v>525</v>
      </c>
      <c r="B23" s="5" t="s">
        <v>234</v>
      </c>
      <c r="C23" s="6">
        <v>46206</v>
      </c>
      <c r="D23" s="7">
        <v>120</v>
      </c>
      <c r="E23" s="5" t="s">
        <v>503</v>
      </c>
    </row>
    <row r="24" spans="1:5" x14ac:dyDescent="0.3">
      <c r="A24" s="5" t="s">
        <v>526</v>
      </c>
      <c r="B24" s="5" t="s">
        <v>235</v>
      </c>
      <c r="C24" s="6">
        <v>46208</v>
      </c>
      <c r="D24" s="7">
        <v>180</v>
      </c>
      <c r="E24" s="5" t="s">
        <v>505</v>
      </c>
    </row>
    <row r="25" spans="1:5" x14ac:dyDescent="0.3">
      <c r="A25" s="5" t="s">
        <v>527</v>
      </c>
      <c r="B25" s="5" t="s">
        <v>236</v>
      </c>
      <c r="C25" s="6">
        <v>46207</v>
      </c>
      <c r="D25" s="7">
        <v>360</v>
      </c>
      <c r="E25" s="5" t="s">
        <v>505</v>
      </c>
    </row>
    <row r="26" spans="1:5" x14ac:dyDescent="0.3">
      <c r="A26" s="5" t="s">
        <v>528</v>
      </c>
      <c r="B26" s="5" t="s">
        <v>237</v>
      </c>
      <c r="C26" s="6">
        <v>46205</v>
      </c>
      <c r="D26" s="7">
        <v>540</v>
      </c>
      <c r="E26" s="5" t="s">
        <v>515</v>
      </c>
    </row>
    <row r="27" spans="1:5" x14ac:dyDescent="0.3">
      <c r="A27" s="5" t="s">
        <v>529</v>
      </c>
      <c r="B27" s="5" t="s">
        <v>238</v>
      </c>
      <c r="C27" s="6">
        <v>46207</v>
      </c>
      <c r="D27" s="7">
        <v>540</v>
      </c>
      <c r="E27" s="5" t="s">
        <v>503</v>
      </c>
    </row>
    <row r="28" spans="1:5" x14ac:dyDescent="0.3">
      <c r="A28" s="5" t="s">
        <v>530</v>
      </c>
      <c r="B28" s="5" t="s">
        <v>239</v>
      </c>
      <c r="C28" s="6">
        <v>46205</v>
      </c>
      <c r="D28" s="7">
        <v>240</v>
      </c>
      <c r="E28" s="5" t="s">
        <v>515</v>
      </c>
    </row>
    <row r="29" spans="1:5" x14ac:dyDescent="0.3">
      <c r="A29" s="5" t="s">
        <v>531</v>
      </c>
      <c r="B29" s="5" t="s">
        <v>240</v>
      </c>
      <c r="C29" s="6">
        <v>46209</v>
      </c>
      <c r="D29" s="7">
        <v>120</v>
      </c>
      <c r="E29" s="5" t="s">
        <v>515</v>
      </c>
    </row>
    <row r="30" spans="1:5" x14ac:dyDescent="0.3">
      <c r="A30" s="5" t="s">
        <v>532</v>
      </c>
      <c r="B30" s="5" t="s">
        <v>241</v>
      </c>
      <c r="C30" s="6">
        <v>46205</v>
      </c>
      <c r="D30" s="7">
        <v>360</v>
      </c>
      <c r="E30" s="5" t="s">
        <v>503</v>
      </c>
    </row>
    <row r="31" spans="1:5" x14ac:dyDescent="0.3">
      <c r="A31" s="5" t="s">
        <v>533</v>
      </c>
      <c r="B31" s="5" t="s">
        <v>242</v>
      </c>
      <c r="C31" s="6">
        <v>46207</v>
      </c>
      <c r="D31" s="7">
        <v>360</v>
      </c>
      <c r="E31" s="5" t="s">
        <v>503</v>
      </c>
    </row>
    <row r="32" spans="1:5" x14ac:dyDescent="0.3">
      <c r="A32" s="5" t="s">
        <v>534</v>
      </c>
      <c r="B32" s="5" t="s">
        <v>243</v>
      </c>
      <c r="C32" s="6">
        <v>46210</v>
      </c>
      <c r="D32" s="7">
        <v>450</v>
      </c>
      <c r="E32" s="5" t="s">
        <v>503</v>
      </c>
    </row>
    <row r="33" spans="1:5" x14ac:dyDescent="0.3">
      <c r="A33" s="5" t="s">
        <v>535</v>
      </c>
      <c r="B33" s="5" t="s">
        <v>244</v>
      </c>
      <c r="C33" s="6">
        <v>46210</v>
      </c>
      <c r="D33" s="7">
        <v>360</v>
      </c>
      <c r="E33" s="5" t="s">
        <v>501</v>
      </c>
    </row>
    <row r="34" spans="1:5" x14ac:dyDescent="0.3">
      <c r="A34" s="5" t="s">
        <v>536</v>
      </c>
      <c r="B34" s="5" t="s">
        <v>245</v>
      </c>
      <c r="C34" s="6">
        <v>46210</v>
      </c>
      <c r="D34" s="7">
        <v>240</v>
      </c>
      <c r="E34" s="5" t="s">
        <v>515</v>
      </c>
    </row>
    <row r="35" spans="1:5" x14ac:dyDescent="0.3">
      <c r="A35" s="5" t="s">
        <v>537</v>
      </c>
      <c r="B35" s="5" t="s">
        <v>246</v>
      </c>
      <c r="C35" s="6">
        <v>46229</v>
      </c>
      <c r="D35" s="7">
        <v>150</v>
      </c>
      <c r="E35" s="5" t="s">
        <v>501</v>
      </c>
    </row>
    <row r="36" spans="1:5" x14ac:dyDescent="0.3">
      <c r="A36" s="5" t="s">
        <v>538</v>
      </c>
      <c r="B36" s="5" t="s">
        <v>247</v>
      </c>
      <c r="C36" s="6">
        <v>46210</v>
      </c>
      <c r="D36" s="7">
        <v>360</v>
      </c>
      <c r="E36" s="5" t="s">
        <v>503</v>
      </c>
    </row>
    <row r="37" spans="1:5" x14ac:dyDescent="0.3">
      <c r="A37" s="5" t="s">
        <v>539</v>
      </c>
      <c r="B37" s="5" t="s">
        <v>248</v>
      </c>
      <c r="C37" s="6">
        <v>46228</v>
      </c>
      <c r="D37" s="7">
        <v>300</v>
      </c>
      <c r="E37" s="5" t="s">
        <v>505</v>
      </c>
    </row>
    <row r="38" spans="1:5" x14ac:dyDescent="0.3">
      <c r="A38" s="5" t="s">
        <v>540</v>
      </c>
      <c r="B38" s="5" t="s">
        <v>249</v>
      </c>
      <c r="C38" s="6">
        <v>46208</v>
      </c>
      <c r="D38" s="7">
        <v>240</v>
      </c>
      <c r="E38" s="5" t="s">
        <v>505</v>
      </c>
    </row>
    <row r="39" spans="1:5" x14ac:dyDescent="0.3">
      <c r="A39" s="5" t="s">
        <v>541</v>
      </c>
      <c r="B39" s="5" t="s">
        <v>250</v>
      </c>
      <c r="C39" s="6">
        <v>46207</v>
      </c>
      <c r="D39" s="7">
        <v>540</v>
      </c>
      <c r="E39" s="5" t="s">
        <v>505</v>
      </c>
    </row>
    <row r="40" spans="1:5" x14ac:dyDescent="0.3">
      <c r="A40" s="5" t="s">
        <v>542</v>
      </c>
      <c r="B40" s="5" t="s">
        <v>251</v>
      </c>
      <c r="C40" s="6">
        <v>46209</v>
      </c>
      <c r="D40" s="7">
        <v>150</v>
      </c>
      <c r="E40" s="5" t="s">
        <v>503</v>
      </c>
    </row>
    <row r="41" spans="1:5" x14ac:dyDescent="0.3">
      <c r="A41" s="5" t="s">
        <v>543</v>
      </c>
      <c r="B41" s="5" t="s">
        <v>252</v>
      </c>
      <c r="C41" s="6">
        <v>46208</v>
      </c>
      <c r="D41" s="7">
        <v>180</v>
      </c>
      <c r="E41" s="5" t="s">
        <v>503</v>
      </c>
    </row>
    <row r="42" spans="1:5" x14ac:dyDescent="0.3">
      <c r="A42" s="5" t="s">
        <v>544</v>
      </c>
      <c r="B42" s="5" t="s">
        <v>253</v>
      </c>
      <c r="C42" s="6">
        <v>46206</v>
      </c>
      <c r="D42" s="7">
        <v>360</v>
      </c>
      <c r="E42" s="5" t="s">
        <v>503</v>
      </c>
    </row>
    <row r="43" spans="1:5" x14ac:dyDescent="0.3">
      <c r="A43" s="5" t="s">
        <v>545</v>
      </c>
      <c r="B43" s="5" t="s">
        <v>254</v>
      </c>
      <c r="C43" s="6">
        <v>46224</v>
      </c>
      <c r="D43" s="7">
        <v>180</v>
      </c>
      <c r="E43" s="5" t="s">
        <v>503</v>
      </c>
    </row>
    <row r="44" spans="1:5" x14ac:dyDescent="0.3">
      <c r="A44" s="5" t="s">
        <v>546</v>
      </c>
      <c r="B44" s="5" t="s">
        <v>255</v>
      </c>
      <c r="C44" s="6">
        <v>46210</v>
      </c>
      <c r="D44" s="7">
        <v>180</v>
      </c>
      <c r="E44" s="5" t="s">
        <v>501</v>
      </c>
    </row>
    <row r="45" spans="1:5" x14ac:dyDescent="0.3">
      <c r="A45" s="5" t="s">
        <v>547</v>
      </c>
      <c r="B45" s="5" t="s">
        <v>256</v>
      </c>
      <c r="C45" s="6">
        <v>46209</v>
      </c>
      <c r="D45" s="7">
        <v>120</v>
      </c>
      <c r="E45" s="5" t="s">
        <v>505</v>
      </c>
    </row>
    <row r="46" spans="1:5" x14ac:dyDescent="0.3">
      <c r="A46" s="5" t="s">
        <v>548</v>
      </c>
      <c r="B46" s="5" t="s">
        <v>257</v>
      </c>
      <c r="C46" s="6">
        <v>46224</v>
      </c>
      <c r="D46" s="7">
        <v>540</v>
      </c>
      <c r="E46" s="5" t="s">
        <v>515</v>
      </c>
    </row>
    <row r="47" spans="1:5" x14ac:dyDescent="0.3">
      <c r="A47" s="5" t="s">
        <v>549</v>
      </c>
      <c r="B47" s="5" t="s">
        <v>258</v>
      </c>
      <c r="C47" s="6">
        <v>46210</v>
      </c>
      <c r="D47" s="7">
        <v>120</v>
      </c>
      <c r="E47" s="5" t="s">
        <v>515</v>
      </c>
    </row>
    <row r="48" spans="1:5" x14ac:dyDescent="0.3">
      <c r="A48" s="5" t="s">
        <v>550</v>
      </c>
      <c r="B48" s="5" t="s">
        <v>259</v>
      </c>
      <c r="C48" s="6">
        <v>46205</v>
      </c>
      <c r="D48" s="7">
        <v>300</v>
      </c>
      <c r="E48" s="5" t="s">
        <v>505</v>
      </c>
    </row>
    <row r="49" spans="1:5" x14ac:dyDescent="0.3">
      <c r="A49" s="5" t="s">
        <v>551</v>
      </c>
      <c r="B49" s="5" t="s">
        <v>260</v>
      </c>
      <c r="C49" s="6">
        <v>46214</v>
      </c>
      <c r="D49" s="7">
        <v>120</v>
      </c>
      <c r="E49" s="5" t="s">
        <v>505</v>
      </c>
    </row>
    <row r="50" spans="1:5" x14ac:dyDescent="0.3">
      <c r="A50" s="5" t="s">
        <v>552</v>
      </c>
      <c r="B50" s="5" t="s">
        <v>261</v>
      </c>
      <c r="C50" s="6">
        <v>46210</v>
      </c>
      <c r="D50" s="7">
        <v>150</v>
      </c>
      <c r="E50" s="5" t="s">
        <v>515</v>
      </c>
    </row>
    <row r="51" spans="1:5" x14ac:dyDescent="0.3">
      <c r="A51" s="5" t="s">
        <v>553</v>
      </c>
      <c r="B51" s="5" t="s">
        <v>262</v>
      </c>
      <c r="C51" s="6">
        <v>46228</v>
      </c>
      <c r="D51" s="7">
        <v>360</v>
      </c>
      <c r="E51" s="5" t="s">
        <v>501</v>
      </c>
    </row>
    <row r="52" spans="1:5" x14ac:dyDescent="0.3">
      <c r="A52" s="5" t="s">
        <v>554</v>
      </c>
      <c r="B52" s="5" t="s">
        <v>263</v>
      </c>
      <c r="C52" s="6">
        <v>46224</v>
      </c>
      <c r="D52" s="7">
        <v>360</v>
      </c>
      <c r="E52" s="5" t="s">
        <v>515</v>
      </c>
    </row>
    <row r="53" spans="1:5" x14ac:dyDescent="0.3">
      <c r="A53" s="5" t="s">
        <v>555</v>
      </c>
      <c r="B53" s="5" t="s">
        <v>264</v>
      </c>
      <c r="C53" s="6">
        <v>46238</v>
      </c>
      <c r="D53" s="7">
        <v>300</v>
      </c>
      <c r="E53" s="5" t="s">
        <v>501</v>
      </c>
    </row>
    <row r="54" spans="1:5" x14ac:dyDescent="0.3">
      <c r="A54" s="5" t="s">
        <v>556</v>
      </c>
      <c r="B54" s="5" t="s">
        <v>265</v>
      </c>
      <c r="C54" s="6">
        <v>46239</v>
      </c>
      <c r="D54" s="7">
        <v>180</v>
      </c>
      <c r="E54" s="5" t="s">
        <v>515</v>
      </c>
    </row>
    <row r="55" spans="1:5" x14ac:dyDescent="0.3">
      <c r="A55" s="5" t="s">
        <v>557</v>
      </c>
      <c r="B55" s="5" t="s">
        <v>266</v>
      </c>
      <c r="C55" s="6">
        <v>46237</v>
      </c>
      <c r="D55" s="7">
        <v>300</v>
      </c>
      <c r="E55" s="5" t="s">
        <v>515</v>
      </c>
    </row>
    <row r="56" spans="1:5" x14ac:dyDescent="0.3">
      <c r="A56" s="5" t="s">
        <v>558</v>
      </c>
      <c r="B56" s="5" t="s">
        <v>267</v>
      </c>
      <c r="C56" s="6">
        <v>46237</v>
      </c>
      <c r="D56" s="7">
        <v>180</v>
      </c>
      <c r="E56" s="5" t="s">
        <v>503</v>
      </c>
    </row>
    <row r="57" spans="1:5" x14ac:dyDescent="0.3">
      <c r="A57" s="5" t="s">
        <v>559</v>
      </c>
      <c r="B57" s="5" t="s">
        <v>268</v>
      </c>
      <c r="C57" s="6">
        <v>46255</v>
      </c>
      <c r="D57" s="7">
        <v>240</v>
      </c>
      <c r="E57" s="5" t="s">
        <v>501</v>
      </c>
    </row>
    <row r="58" spans="1:5" x14ac:dyDescent="0.3">
      <c r="A58" s="5" t="s">
        <v>560</v>
      </c>
      <c r="B58" s="5" t="s">
        <v>269</v>
      </c>
      <c r="C58" s="6">
        <v>46240</v>
      </c>
      <c r="D58" s="7">
        <v>150</v>
      </c>
      <c r="E58" s="5" t="s">
        <v>505</v>
      </c>
    </row>
    <row r="59" spans="1:5" x14ac:dyDescent="0.3">
      <c r="A59" s="5" t="s">
        <v>561</v>
      </c>
      <c r="B59" s="5" t="s">
        <v>270</v>
      </c>
      <c r="C59" s="6">
        <v>46241</v>
      </c>
      <c r="D59" s="7">
        <v>120</v>
      </c>
      <c r="E59" s="5" t="s">
        <v>515</v>
      </c>
    </row>
    <row r="60" spans="1:5" x14ac:dyDescent="0.3">
      <c r="A60" s="5" t="s">
        <v>562</v>
      </c>
      <c r="B60" s="5" t="s">
        <v>271</v>
      </c>
      <c r="C60" s="6">
        <v>46236</v>
      </c>
      <c r="D60" s="7">
        <v>240</v>
      </c>
      <c r="E60" s="5" t="s">
        <v>505</v>
      </c>
    </row>
    <row r="61" spans="1:5" x14ac:dyDescent="0.3">
      <c r="A61" s="5" t="s">
        <v>563</v>
      </c>
      <c r="B61" s="5" t="s">
        <v>272</v>
      </c>
      <c r="C61" s="6">
        <v>46258</v>
      </c>
      <c r="D61" s="7">
        <v>360</v>
      </c>
      <c r="E61" s="5" t="s">
        <v>505</v>
      </c>
    </row>
    <row r="62" spans="1:5" x14ac:dyDescent="0.3">
      <c r="A62" s="5" t="s">
        <v>564</v>
      </c>
      <c r="B62" s="5" t="s">
        <v>273</v>
      </c>
      <c r="C62" s="6">
        <v>46241</v>
      </c>
      <c r="D62" s="7">
        <v>150</v>
      </c>
      <c r="E62" s="5" t="s">
        <v>505</v>
      </c>
    </row>
    <row r="63" spans="1:5" x14ac:dyDescent="0.3">
      <c r="A63" s="5" t="s">
        <v>565</v>
      </c>
      <c r="B63" s="5" t="s">
        <v>274</v>
      </c>
      <c r="C63" s="6">
        <v>46237</v>
      </c>
      <c r="D63" s="7">
        <v>540</v>
      </c>
      <c r="E63" s="5" t="s">
        <v>515</v>
      </c>
    </row>
    <row r="64" spans="1:5" x14ac:dyDescent="0.3">
      <c r="A64" s="5" t="s">
        <v>566</v>
      </c>
      <c r="B64" s="5" t="s">
        <v>275</v>
      </c>
      <c r="C64" s="6">
        <v>46238</v>
      </c>
      <c r="D64" s="7">
        <v>290</v>
      </c>
      <c r="E64" s="5" t="s">
        <v>515</v>
      </c>
    </row>
    <row r="65" spans="1:5" x14ac:dyDescent="0.3">
      <c r="A65" s="5" t="s">
        <v>567</v>
      </c>
      <c r="B65" s="5" t="s">
        <v>276</v>
      </c>
      <c r="C65" s="6">
        <v>46238</v>
      </c>
      <c r="D65" s="7">
        <v>360</v>
      </c>
      <c r="E65" s="5" t="s">
        <v>515</v>
      </c>
    </row>
    <row r="66" spans="1:5" x14ac:dyDescent="0.3">
      <c r="A66" s="5" t="s">
        <v>568</v>
      </c>
      <c r="B66" s="5" t="s">
        <v>277</v>
      </c>
      <c r="C66" s="6">
        <v>46241</v>
      </c>
      <c r="D66" s="7">
        <v>300</v>
      </c>
      <c r="E66" s="5" t="s">
        <v>501</v>
      </c>
    </row>
    <row r="67" spans="1:5" x14ac:dyDescent="0.3">
      <c r="A67" s="5" t="s">
        <v>569</v>
      </c>
      <c r="B67" s="5" t="s">
        <v>278</v>
      </c>
      <c r="C67" s="6">
        <v>46238</v>
      </c>
      <c r="D67" s="7">
        <v>300</v>
      </c>
      <c r="E67" s="5" t="s">
        <v>515</v>
      </c>
    </row>
    <row r="68" spans="1:5" x14ac:dyDescent="0.3">
      <c r="A68" s="5" t="s">
        <v>570</v>
      </c>
      <c r="B68" s="5" t="s">
        <v>279</v>
      </c>
      <c r="C68" s="6">
        <v>46255</v>
      </c>
      <c r="D68" s="7">
        <v>360</v>
      </c>
      <c r="E68" s="5" t="s">
        <v>505</v>
      </c>
    </row>
    <row r="69" spans="1:5" x14ac:dyDescent="0.3">
      <c r="A69" s="5" t="s">
        <v>571</v>
      </c>
      <c r="B69" s="5" t="s">
        <v>280</v>
      </c>
      <c r="C69" s="6">
        <v>46236</v>
      </c>
      <c r="D69" s="7">
        <v>240</v>
      </c>
      <c r="E69" s="5" t="s">
        <v>505</v>
      </c>
    </row>
    <row r="70" spans="1:5" x14ac:dyDescent="0.3">
      <c r="A70" s="5" t="s">
        <v>572</v>
      </c>
      <c r="B70" s="5" t="s">
        <v>281</v>
      </c>
      <c r="C70" s="6">
        <v>46241</v>
      </c>
      <c r="D70" s="7">
        <v>360</v>
      </c>
      <c r="E70" s="5" t="s">
        <v>515</v>
      </c>
    </row>
    <row r="71" spans="1:5" x14ac:dyDescent="0.3">
      <c r="A71" s="5" t="s">
        <v>573</v>
      </c>
      <c r="B71" s="5" t="s">
        <v>282</v>
      </c>
      <c r="C71" s="6">
        <v>46236</v>
      </c>
      <c r="D71" s="7">
        <v>230</v>
      </c>
      <c r="E71" s="5" t="s">
        <v>503</v>
      </c>
    </row>
    <row r="72" spans="1:5" x14ac:dyDescent="0.3">
      <c r="A72" s="5" t="s">
        <v>574</v>
      </c>
      <c r="B72" s="5" t="s">
        <v>283</v>
      </c>
      <c r="C72" s="6">
        <v>46236</v>
      </c>
      <c r="D72" s="7">
        <v>540</v>
      </c>
      <c r="E72" s="5" t="s">
        <v>501</v>
      </c>
    </row>
    <row r="73" spans="1:5" x14ac:dyDescent="0.3">
      <c r="A73" s="5" t="s">
        <v>575</v>
      </c>
      <c r="B73" s="5" t="s">
        <v>284</v>
      </c>
      <c r="C73" s="6">
        <v>46238</v>
      </c>
      <c r="D73" s="7">
        <v>360</v>
      </c>
      <c r="E73" s="5" t="s">
        <v>515</v>
      </c>
    </row>
    <row r="74" spans="1:5" x14ac:dyDescent="0.3">
      <c r="A74" s="5" t="s">
        <v>576</v>
      </c>
      <c r="B74" s="5" t="s">
        <v>285</v>
      </c>
      <c r="C74" s="6">
        <v>46240</v>
      </c>
      <c r="D74" s="7">
        <v>240</v>
      </c>
      <c r="E74" s="5" t="s">
        <v>515</v>
      </c>
    </row>
    <row r="75" spans="1:5" x14ac:dyDescent="0.3">
      <c r="A75" s="5" t="s">
        <v>577</v>
      </c>
      <c r="B75" s="5" t="s">
        <v>286</v>
      </c>
      <c r="C75" s="6">
        <v>46236</v>
      </c>
      <c r="D75" s="7">
        <v>150</v>
      </c>
      <c r="E75" s="5" t="s">
        <v>505</v>
      </c>
    </row>
    <row r="76" spans="1:5" x14ac:dyDescent="0.3">
      <c r="A76" s="5" t="s">
        <v>578</v>
      </c>
      <c r="B76" s="5" t="s">
        <v>287</v>
      </c>
      <c r="C76" s="6">
        <v>46236</v>
      </c>
      <c r="D76" s="7">
        <v>120</v>
      </c>
      <c r="E76" s="5" t="s">
        <v>515</v>
      </c>
    </row>
    <row r="77" spans="1:5" x14ac:dyDescent="0.3">
      <c r="A77" s="5" t="s">
        <v>579</v>
      </c>
      <c r="B77" s="5" t="s">
        <v>288</v>
      </c>
      <c r="C77" s="6">
        <v>46243</v>
      </c>
      <c r="D77" s="7">
        <v>180</v>
      </c>
      <c r="E77" s="5" t="s">
        <v>505</v>
      </c>
    </row>
    <row r="78" spans="1:5" x14ac:dyDescent="0.3">
      <c r="A78" s="5" t="s">
        <v>580</v>
      </c>
      <c r="B78" s="5" t="s">
        <v>289</v>
      </c>
      <c r="C78" s="6">
        <v>46236</v>
      </c>
      <c r="D78" s="7">
        <v>360</v>
      </c>
      <c r="E78" s="5" t="s">
        <v>503</v>
      </c>
    </row>
    <row r="79" spans="1:5" x14ac:dyDescent="0.3">
      <c r="A79" s="5" t="s">
        <v>581</v>
      </c>
      <c r="B79" s="5" t="s">
        <v>290</v>
      </c>
      <c r="C79" s="6">
        <v>46241</v>
      </c>
      <c r="D79" s="7">
        <v>540</v>
      </c>
      <c r="E79" s="5" t="s">
        <v>501</v>
      </c>
    </row>
    <row r="80" spans="1:5" x14ac:dyDescent="0.3">
      <c r="A80" s="5" t="s">
        <v>582</v>
      </c>
      <c r="B80" s="5" t="s">
        <v>291</v>
      </c>
      <c r="C80" s="6">
        <v>46240</v>
      </c>
      <c r="D80" s="7">
        <v>540</v>
      </c>
      <c r="E80" s="5" t="s">
        <v>505</v>
      </c>
    </row>
    <row r="81" spans="1:5" x14ac:dyDescent="0.3">
      <c r="A81" s="5" t="s">
        <v>583</v>
      </c>
      <c r="B81" s="5" t="s">
        <v>292</v>
      </c>
      <c r="C81" s="6">
        <v>46237</v>
      </c>
      <c r="D81" s="7">
        <v>240</v>
      </c>
      <c r="E81" s="5" t="s">
        <v>503</v>
      </c>
    </row>
    <row r="82" spans="1:5" x14ac:dyDescent="0.3">
      <c r="A82" s="5" t="s">
        <v>584</v>
      </c>
      <c r="B82" s="5" t="s">
        <v>293</v>
      </c>
      <c r="C82" s="6">
        <v>46254</v>
      </c>
      <c r="D82" s="7">
        <v>120</v>
      </c>
      <c r="E82" s="5" t="s">
        <v>505</v>
      </c>
    </row>
    <row r="83" spans="1:5" x14ac:dyDescent="0.3">
      <c r="A83" s="5" t="s">
        <v>585</v>
      </c>
      <c r="B83" s="5" t="s">
        <v>294</v>
      </c>
      <c r="C83" s="6">
        <v>46236</v>
      </c>
      <c r="D83" s="7">
        <v>170</v>
      </c>
      <c r="E83" s="5" t="s">
        <v>515</v>
      </c>
    </row>
    <row r="84" spans="1:5" x14ac:dyDescent="0.3">
      <c r="A84" s="5" t="s">
        <v>586</v>
      </c>
      <c r="B84" s="5" t="s">
        <v>295</v>
      </c>
      <c r="C84" s="6">
        <v>46241</v>
      </c>
      <c r="D84" s="7">
        <v>360</v>
      </c>
      <c r="E84" s="5" t="s">
        <v>503</v>
      </c>
    </row>
    <row r="85" spans="1:5" x14ac:dyDescent="0.3">
      <c r="A85" s="5" t="s">
        <v>587</v>
      </c>
      <c r="B85" s="5" t="s">
        <v>296</v>
      </c>
      <c r="C85" s="6">
        <v>46238</v>
      </c>
      <c r="D85" s="7">
        <v>410</v>
      </c>
      <c r="E85" s="5" t="s">
        <v>501</v>
      </c>
    </row>
    <row r="86" spans="1:5" x14ac:dyDescent="0.3">
      <c r="A86" s="5" t="s">
        <v>588</v>
      </c>
      <c r="B86" s="5" t="s">
        <v>297</v>
      </c>
      <c r="C86" s="6">
        <v>46240</v>
      </c>
      <c r="D86" s="7">
        <v>360</v>
      </c>
      <c r="E86" s="5" t="s">
        <v>505</v>
      </c>
    </row>
    <row r="87" spans="1:5" x14ac:dyDescent="0.3">
      <c r="A87" s="5" t="s">
        <v>589</v>
      </c>
      <c r="B87" s="5" t="s">
        <v>298</v>
      </c>
      <c r="C87" s="6">
        <v>46238</v>
      </c>
      <c r="D87" s="7">
        <v>450</v>
      </c>
      <c r="E87" s="5" t="s">
        <v>501</v>
      </c>
    </row>
    <row r="88" spans="1:5" x14ac:dyDescent="0.3">
      <c r="A88" s="5" t="s">
        <v>590</v>
      </c>
      <c r="B88" s="5" t="s">
        <v>299</v>
      </c>
      <c r="C88" s="6">
        <v>46240</v>
      </c>
      <c r="D88" s="7">
        <v>360</v>
      </c>
      <c r="E88" s="5" t="s">
        <v>503</v>
      </c>
    </row>
    <row r="89" spans="1:5" x14ac:dyDescent="0.3">
      <c r="A89" s="5" t="s">
        <v>591</v>
      </c>
      <c r="B89" s="5" t="s">
        <v>300</v>
      </c>
      <c r="C89" s="6">
        <v>46241</v>
      </c>
      <c r="D89" s="7">
        <v>240</v>
      </c>
      <c r="E89" s="5" t="s">
        <v>503</v>
      </c>
    </row>
    <row r="90" spans="1:5" x14ac:dyDescent="0.3">
      <c r="A90" s="5" t="s">
        <v>592</v>
      </c>
      <c r="B90" s="5" t="s">
        <v>301</v>
      </c>
      <c r="C90" s="6">
        <v>46241</v>
      </c>
      <c r="D90" s="7">
        <v>150</v>
      </c>
      <c r="E90" s="5" t="s">
        <v>515</v>
      </c>
    </row>
    <row r="91" spans="1:5" x14ac:dyDescent="0.3">
      <c r="A91" s="5" t="s">
        <v>593</v>
      </c>
      <c r="B91" s="5" t="s">
        <v>302</v>
      </c>
      <c r="C91" s="6">
        <v>46237</v>
      </c>
      <c r="D91" s="7">
        <v>360</v>
      </c>
      <c r="E91" s="5" t="s">
        <v>505</v>
      </c>
    </row>
    <row r="92" spans="1:5" x14ac:dyDescent="0.3">
      <c r="A92" s="5" t="s">
        <v>594</v>
      </c>
      <c r="B92" s="5" t="s">
        <v>303</v>
      </c>
      <c r="C92" s="6">
        <v>46236</v>
      </c>
      <c r="D92" s="7">
        <v>300</v>
      </c>
      <c r="E92" s="5" t="s">
        <v>503</v>
      </c>
    </row>
    <row r="93" spans="1:5" x14ac:dyDescent="0.3">
      <c r="A93" s="5" t="s">
        <v>595</v>
      </c>
      <c r="B93" s="5" t="s">
        <v>304</v>
      </c>
      <c r="C93" s="6">
        <v>46241</v>
      </c>
      <c r="D93" s="7">
        <v>240</v>
      </c>
      <c r="E93" s="5" t="s">
        <v>501</v>
      </c>
    </row>
    <row r="94" spans="1:5" x14ac:dyDescent="0.3">
      <c r="A94" s="5" t="s">
        <v>596</v>
      </c>
      <c r="B94" s="5" t="s">
        <v>305</v>
      </c>
      <c r="C94" s="6">
        <v>46238</v>
      </c>
      <c r="D94" s="7">
        <v>540</v>
      </c>
      <c r="E94" s="5" t="s">
        <v>503</v>
      </c>
    </row>
    <row r="95" spans="1:5" x14ac:dyDescent="0.3">
      <c r="A95" s="5" t="s">
        <v>597</v>
      </c>
      <c r="B95" s="5" t="s">
        <v>306</v>
      </c>
      <c r="C95" s="6">
        <v>46236</v>
      </c>
      <c r="D95" s="7">
        <v>150</v>
      </c>
      <c r="E95" s="5" t="s">
        <v>505</v>
      </c>
    </row>
    <row r="96" spans="1:5" x14ac:dyDescent="0.3">
      <c r="A96" s="5" t="s">
        <v>598</v>
      </c>
      <c r="B96" s="5" t="s">
        <v>307</v>
      </c>
      <c r="C96" s="6">
        <v>46236</v>
      </c>
      <c r="D96" s="7">
        <v>180</v>
      </c>
      <c r="E96" s="5" t="s">
        <v>505</v>
      </c>
    </row>
    <row r="97" spans="1:5" x14ac:dyDescent="0.3">
      <c r="A97" s="5" t="s">
        <v>599</v>
      </c>
      <c r="B97" s="5" t="s">
        <v>308</v>
      </c>
      <c r="C97" s="6">
        <v>46241</v>
      </c>
      <c r="D97" s="7">
        <v>360</v>
      </c>
      <c r="E97" s="5" t="s">
        <v>503</v>
      </c>
    </row>
    <row r="98" spans="1:5" x14ac:dyDescent="0.3">
      <c r="A98" s="5" t="s">
        <v>600</v>
      </c>
      <c r="B98" s="5" t="s">
        <v>309</v>
      </c>
      <c r="C98" s="6">
        <v>46244</v>
      </c>
      <c r="D98" s="7">
        <v>180</v>
      </c>
      <c r="E98" s="5" t="s">
        <v>505</v>
      </c>
    </row>
    <row r="99" spans="1:5" x14ac:dyDescent="0.3">
      <c r="A99" s="5" t="s">
        <v>601</v>
      </c>
      <c r="B99" s="5" t="s">
        <v>310</v>
      </c>
      <c r="C99" s="6">
        <v>46237</v>
      </c>
      <c r="D99" s="7">
        <v>180</v>
      </c>
      <c r="E99" s="5" t="s">
        <v>501</v>
      </c>
    </row>
    <row r="100" spans="1:5" x14ac:dyDescent="0.3">
      <c r="A100" s="5" t="s">
        <v>602</v>
      </c>
      <c r="B100" s="5" t="s">
        <v>311</v>
      </c>
      <c r="C100" s="6">
        <v>46239</v>
      </c>
      <c r="D100" s="7">
        <v>120</v>
      </c>
      <c r="E100" s="5" t="s">
        <v>501</v>
      </c>
    </row>
    <row r="101" spans="1:5" x14ac:dyDescent="0.3">
      <c r="A101" s="5" t="s">
        <v>603</v>
      </c>
      <c r="B101" s="5" t="s">
        <v>312</v>
      </c>
      <c r="C101" s="6">
        <v>46237</v>
      </c>
      <c r="D101" s="7">
        <v>540</v>
      </c>
      <c r="E101" s="5" t="s">
        <v>505</v>
      </c>
    </row>
    <row r="102" spans="1:5" x14ac:dyDescent="0.3">
      <c r="A102" s="5" t="s">
        <v>604</v>
      </c>
      <c r="B102" s="5" t="s">
        <v>313</v>
      </c>
      <c r="C102" s="6">
        <v>46241</v>
      </c>
      <c r="D102" s="7">
        <v>120</v>
      </c>
      <c r="E102" s="5" t="s">
        <v>503</v>
      </c>
    </row>
    <row r="103" spans="1:5" x14ac:dyDescent="0.3">
      <c r="A103" s="5" t="s">
        <v>605</v>
      </c>
      <c r="B103" s="5" t="s">
        <v>314</v>
      </c>
      <c r="C103" s="6">
        <v>46240</v>
      </c>
      <c r="D103" s="7">
        <v>300</v>
      </c>
      <c r="E103" s="5" t="s">
        <v>505</v>
      </c>
    </row>
    <row r="104" spans="1:5" x14ac:dyDescent="0.3">
      <c r="A104" s="5" t="s">
        <v>606</v>
      </c>
      <c r="B104" s="5" t="s">
        <v>315</v>
      </c>
      <c r="C104" s="6">
        <v>46258</v>
      </c>
      <c r="D104" s="7">
        <v>120</v>
      </c>
      <c r="E104" s="5" t="s">
        <v>503</v>
      </c>
    </row>
    <row r="105" spans="1:5" x14ac:dyDescent="0.3">
      <c r="A105" s="5" t="s">
        <v>607</v>
      </c>
      <c r="B105" s="5" t="s">
        <v>316</v>
      </c>
      <c r="C105" s="6">
        <v>46236</v>
      </c>
      <c r="D105" s="7">
        <v>150</v>
      </c>
      <c r="E105" s="5" t="s">
        <v>503</v>
      </c>
    </row>
    <row r="106" spans="1:5" x14ac:dyDescent="0.3">
      <c r="A106" s="5" t="s">
        <v>608</v>
      </c>
      <c r="B106" s="5" t="s">
        <v>317</v>
      </c>
      <c r="C106" s="6">
        <v>46247</v>
      </c>
      <c r="D106" s="7">
        <v>360</v>
      </c>
      <c r="E106" s="5" t="s">
        <v>501</v>
      </c>
    </row>
    <row r="107" spans="1:5" x14ac:dyDescent="0.3">
      <c r="A107" s="5" t="s">
        <v>609</v>
      </c>
      <c r="B107" s="5" t="s">
        <v>318</v>
      </c>
      <c r="C107" s="6">
        <v>46238</v>
      </c>
      <c r="D107" s="7">
        <v>360</v>
      </c>
      <c r="E107" s="5" t="s">
        <v>501</v>
      </c>
    </row>
    <row r="108" spans="1:5" x14ac:dyDescent="0.3">
      <c r="A108" s="5" t="s">
        <v>610</v>
      </c>
      <c r="B108" s="5" t="s">
        <v>319</v>
      </c>
      <c r="C108" s="6">
        <v>46267</v>
      </c>
      <c r="D108" s="7">
        <v>410</v>
      </c>
      <c r="E108" s="5" t="s">
        <v>501</v>
      </c>
    </row>
    <row r="109" spans="1:5" x14ac:dyDescent="0.3">
      <c r="A109" s="5" t="s">
        <v>611</v>
      </c>
      <c r="B109" s="5" t="s">
        <v>320</v>
      </c>
      <c r="C109" s="6">
        <v>46268</v>
      </c>
      <c r="D109" s="7">
        <v>300</v>
      </c>
      <c r="E109" s="5" t="s">
        <v>501</v>
      </c>
    </row>
    <row r="110" spans="1:5" x14ac:dyDescent="0.3">
      <c r="A110" s="5" t="s">
        <v>612</v>
      </c>
      <c r="B110" s="5" t="s">
        <v>321</v>
      </c>
      <c r="C110" s="6">
        <v>46267</v>
      </c>
      <c r="D110" s="7">
        <v>180</v>
      </c>
      <c r="E110" s="5" t="s">
        <v>503</v>
      </c>
    </row>
    <row r="111" spans="1:5" x14ac:dyDescent="0.3">
      <c r="A111" s="5" t="s">
        <v>613</v>
      </c>
      <c r="B111" s="5" t="s">
        <v>322</v>
      </c>
      <c r="C111" s="6">
        <v>46269</v>
      </c>
      <c r="D111" s="7">
        <v>300</v>
      </c>
      <c r="E111" s="5" t="s">
        <v>501</v>
      </c>
    </row>
    <row r="112" spans="1:5" x14ac:dyDescent="0.3">
      <c r="A112" s="5" t="s">
        <v>614</v>
      </c>
      <c r="B112" s="5" t="s">
        <v>324</v>
      </c>
      <c r="C112" s="6">
        <v>46267</v>
      </c>
      <c r="D112" s="7">
        <v>240</v>
      </c>
      <c r="E112" s="5" t="s">
        <v>515</v>
      </c>
    </row>
    <row r="113" spans="1:5" x14ac:dyDescent="0.3">
      <c r="A113" s="5" t="s">
        <v>615</v>
      </c>
      <c r="B113" s="5" t="s">
        <v>325</v>
      </c>
      <c r="C113" s="6">
        <v>46278</v>
      </c>
      <c r="D113" s="7">
        <v>150</v>
      </c>
      <c r="E113" s="5" t="s">
        <v>515</v>
      </c>
    </row>
    <row r="114" spans="1:5" x14ac:dyDescent="0.3">
      <c r="A114" s="5" t="s">
        <v>616</v>
      </c>
      <c r="B114" s="5" t="s">
        <v>326</v>
      </c>
      <c r="C114" s="6">
        <v>46268</v>
      </c>
      <c r="D114" s="7">
        <v>120</v>
      </c>
      <c r="E114" s="5" t="s">
        <v>503</v>
      </c>
    </row>
    <row r="115" spans="1:5" x14ac:dyDescent="0.3">
      <c r="A115" s="5" t="s">
        <v>617</v>
      </c>
      <c r="B115" s="5" t="s">
        <v>327</v>
      </c>
      <c r="C115" s="6">
        <v>46270</v>
      </c>
      <c r="D115" s="7">
        <v>240</v>
      </c>
      <c r="E115" s="5" t="s">
        <v>501</v>
      </c>
    </row>
    <row r="116" spans="1:5" x14ac:dyDescent="0.3">
      <c r="A116" s="5" t="s">
        <v>618</v>
      </c>
      <c r="B116" s="5" t="s">
        <v>330</v>
      </c>
      <c r="C116" s="6">
        <v>46271</v>
      </c>
      <c r="D116" s="7">
        <v>150</v>
      </c>
      <c r="E116" s="5" t="s">
        <v>501</v>
      </c>
    </row>
    <row r="117" spans="1:5" x14ac:dyDescent="0.3">
      <c r="A117" s="5" t="s">
        <v>619</v>
      </c>
      <c r="B117" s="5" t="s">
        <v>332</v>
      </c>
      <c r="C117" s="6">
        <v>46270</v>
      </c>
      <c r="D117" s="7">
        <v>290</v>
      </c>
      <c r="E117" s="5" t="s">
        <v>503</v>
      </c>
    </row>
    <row r="118" spans="1:5" x14ac:dyDescent="0.3">
      <c r="A118" s="5" t="s">
        <v>620</v>
      </c>
      <c r="B118" s="5" t="s">
        <v>333</v>
      </c>
      <c r="C118" s="6">
        <v>46285</v>
      </c>
      <c r="D118" s="7">
        <v>360</v>
      </c>
      <c r="E118" s="5" t="s">
        <v>503</v>
      </c>
    </row>
    <row r="119" spans="1:5" x14ac:dyDescent="0.3">
      <c r="A119" s="5" t="s">
        <v>621</v>
      </c>
      <c r="B119" s="5" t="s">
        <v>335</v>
      </c>
      <c r="C119" s="6">
        <v>46269</v>
      </c>
      <c r="D119" s="7">
        <v>300</v>
      </c>
      <c r="E119" s="5" t="s">
        <v>515</v>
      </c>
    </row>
    <row r="120" spans="1:5" x14ac:dyDescent="0.3">
      <c r="A120" s="5" t="s">
        <v>622</v>
      </c>
      <c r="B120" s="5" t="s">
        <v>336</v>
      </c>
      <c r="C120" s="6">
        <v>46272</v>
      </c>
      <c r="D120" s="7">
        <v>360</v>
      </c>
      <c r="E120" s="5" t="s">
        <v>501</v>
      </c>
    </row>
    <row r="121" spans="1:5" x14ac:dyDescent="0.3">
      <c r="A121" s="5" t="s">
        <v>623</v>
      </c>
      <c r="B121" s="5" t="s">
        <v>337</v>
      </c>
      <c r="C121" s="6">
        <v>46269</v>
      </c>
      <c r="D121" s="7">
        <v>240</v>
      </c>
      <c r="E121" s="5" t="s">
        <v>515</v>
      </c>
    </row>
    <row r="122" spans="1:5" x14ac:dyDescent="0.3">
      <c r="A122" s="5" t="s">
        <v>624</v>
      </c>
      <c r="B122" s="5" t="s">
        <v>338</v>
      </c>
      <c r="C122" s="6">
        <v>46267</v>
      </c>
      <c r="D122" s="7">
        <v>360</v>
      </c>
      <c r="E122" s="5" t="s">
        <v>503</v>
      </c>
    </row>
    <row r="123" spans="1:5" x14ac:dyDescent="0.3">
      <c r="A123" s="5" t="s">
        <v>625</v>
      </c>
      <c r="B123" s="5" t="s">
        <v>341</v>
      </c>
      <c r="C123" s="6">
        <v>46270</v>
      </c>
      <c r="D123" s="7">
        <v>360</v>
      </c>
      <c r="E123" s="5" t="s">
        <v>501</v>
      </c>
    </row>
    <row r="124" spans="1:5" x14ac:dyDescent="0.3">
      <c r="A124" s="5" t="s">
        <v>626</v>
      </c>
      <c r="B124" s="5" t="s">
        <v>343</v>
      </c>
      <c r="C124" s="6">
        <v>46269</v>
      </c>
      <c r="D124" s="7">
        <v>150</v>
      </c>
      <c r="E124" s="5" t="s">
        <v>503</v>
      </c>
    </row>
    <row r="125" spans="1:5" x14ac:dyDescent="0.3">
      <c r="A125" s="5" t="s">
        <v>627</v>
      </c>
      <c r="B125" s="5" t="s">
        <v>345</v>
      </c>
      <c r="C125" s="6">
        <v>46279</v>
      </c>
      <c r="D125" s="7">
        <v>90</v>
      </c>
      <c r="E125" s="5" t="s">
        <v>515</v>
      </c>
    </row>
    <row r="126" spans="1:5" x14ac:dyDescent="0.3">
      <c r="A126" s="5" t="s">
        <v>628</v>
      </c>
      <c r="B126" s="5" t="s">
        <v>346</v>
      </c>
      <c r="C126" s="6">
        <v>46270</v>
      </c>
      <c r="D126" s="7">
        <v>360</v>
      </c>
      <c r="E126" s="5" t="s">
        <v>503</v>
      </c>
    </row>
    <row r="127" spans="1:5" x14ac:dyDescent="0.3">
      <c r="A127" s="5" t="s">
        <v>629</v>
      </c>
      <c r="B127" s="5" t="s">
        <v>347</v>
      </c>
      <c r="C127" s="6">
        <v>46279</v>
      </c>
      <c r="D127" s="7">
        <v>540</v>
      </c>
      <c r="E127" s="5" t="s">
        <v>503</v>
      </c>
    </row>
    <row r="128" spans="1:5" x14ac:dyDescent="0.3">
      <c r="A128" s="5" t="s">
        <v>630</v>
      </c>
      <c r="B128" s="5" t="s">
        <v>348</v>
      </c>
      <c r="C128" s="6">
        <v>46269</v>
      </c>
      <c r="D128" s="7">
        <v>540</v>
      </c>
      <c r="E128" s="5" t="s">
        <v>503</v>
      </c>
    </row>
    <row r="129" spans="1:5" x14ac:dyDescent="0.3">
      <c r="A129" s="5" t="s">
        <v>631</v>
      </c>
      <c r="B129" s="5" t="s">
        <v>350</v>
      </c>
      <c r="C129" s="6">
        <v>46270</v>
      </c>
      <c r="D129" s="7">
        <v>120</v>
      </c>
      <c r="E129" s="5" t="s">
        <v>501</v>
      </c>
    </row>
    <row r="130" spans="1:5" x14ac:dyDescent="0.3">
      <c r="A130" s="5" t="s">
        <v>632</v>
      </c>
      <c r="B130" s="5" t="s">
        <v>351</v>
      </c>
      <c r="C130" s="6">
        <v>46267</v>
      </c>
      <c r="D130" s="7">
        <v>120</v>
      </c>
      <c r="E130" s="5" t="s">
        <v>503</v>
      </c>
    </row>
    <row r="131" spans="1:5" x14ac:dyDescent="0.3">
      <c r="A131" s="5" t="s">
        <v>633</v>
      </c>
      <c r="B131" s="5" t="s">
        <v>352</v>
      </c>
      <c r="C131" s="6">
        <v>46272</v>
      </c>
      <c r="D131" s="7">
        <v>360</v>
      </c>
      <c r="E131" s="5" t="s">
        <v>515</v>
      </c>
    </row>
    <row r="132" spans="1:5" x14ac:dyDescent="0.3">
      <c r="A132" s="5" t="s">
        <v>634</v>
      </c>
      <c r="B132" s="5" t="s">
        <v>353</v>
      </c>
      <c r="C132" s="6">
        <v>46267</v>
      </c>
      <c r="D132" s="7">
        <v>360</v>
      </c>
      <c r="E132" s="5" t="s">
        <v>515</v>
      </c>
    </row>
    <row r="133" spans="1:5" x14ac:dyDescent="0.3">
      <c r="A133" s="5" t="s">
        <v>635</v>
      </c>
      <c r="B133" s="5" t="s">
        <v>356</v>
      </c>
      <c r="C133" s="6">
        <v>46274</v>
      </c>
      <c r="D133" s="7">
        <v>180</v>
      </c>
      <c r="E133" s="5" t="s">
        <v>515</v>
      </c>
    </row>
    <row r="134" spans="1:5" x14ac:dyDescent="0.3">
      <c r="A134" s="5" t="s">
        <v>636</v>
      </c>
      <c r="B134" s="5" t="s">
        <v>357</v>
      </c>
      <c r="C134" s="6">
        <v>46282</v>
      </c>
      <c r="D134" s="7">
        <v>240</v>
      </c>
      <c r="E134" s="5" t="s">
        <v>515</v>
      </c>
    </row>
    <row r="135" spans="1:5" x14ac:dyDescent="0.3">
      <c r="A135" s="5" t="s">
        <v>637</v>
      </c>
      <c r="B135" s="5" t="s">
        <v>358</v>
      </c>
      <c r="C135" s="6">
        <v>46269</v>
      </c>
      <c r="D135" s="7">
        <v>150</v>
      </c>
      <c r="E135" s="5" t="s">
        <v>515</v>
      </c>
    </row>
    <row r="136" spans="1:5" x14ac:dyDescent="0.3">
      <c r="A136" s="5" t="s">
        <v>638</v>
      </c>
      <c r="B136" s="5" t="s">
        <v>359</v>
      </c>
      <c r="C136" s="6">
        <v>46271</v>
      </c>
      <c r="D136" s="7">
        <v>360</v>
      </c>
      <c r="E136" s="5" t="s">
        <v>501</v>
      </c>
    </row>
    <row r="137" spans="1:5" x14ac:dyDescent="0.3">
      <c r="A137" s="5" t="s">
        <v>639</v>
      </c>
      <c r="B137" s="5" t="s">
        <v>360</v>
      </c>
      <c r="C137" s="6">
        <v>46269</v>
      </c>
      <c r="D137" s="7">
        <v>300</v>
      </c>
      <c r="E137" s="5" t="s">
        <v>501</v>
      </c>
    </row>
    <row r="138" spans="1:5" x14ac:dyDescent="0.3">
      <c r="A138" s="5" t="s">
        <v>640</v>
      </c>
      <c r="B138" s="5" t="s">
        <v>361</v>
      </c>
      <c r="C138" s="6">
        <v>46271</v>
      </c>
      <c r="D138" s="7">
        <v>240</v>
      </c>
      <c r="E138" s="5" t="s">
        <v>503</v>
      </c>
    </row>
    <row r="139" spans="1:5" x14ac:dyDescent="0.3">
      <c r="A139" s="5" t="s">
        <v>641</v>
      </c>
      <c r="B139" s="5" t="s">
        <v>362</v>
      </c>
      <c r="C139" s="6">
        <v>46271</v>
      </c>
      <c r="D139" s="7">
        <v>540</v>
      </c>
      <c r="E139" s="5" t="s">
        <v>501</v>
      </c>
    </row>
    <row r="140" spans="1:5" x14ac:dyDescent="0.3">
      <c r="A140" s="5" t="s">
        <v>642</v>
      </c>
      <c r="B140" s="5" t="s">
        <v>363</v>
      </c>
      <c r="C140" s="6">
        <v>46272</v>
      </c>
      <c r="D140" s="7">
        <v>150</v>
      </c>
      <c r="E140" s="5" t="s">
        <v>501</v>
      </c>
    </row>
    <row r="141" spans="1:5" x14ac:dyDescent="0.3">
      <c r="A141" s="5" t="s">
        <v>643</v>
      </c>
      <c r="B141" s="5" t="s">
        <v>364</v>
      </c>
      <c r="C141" s="6">
        <v>46272</v>
      </c>
      <c r="D141" s="7">
        <v>180</v>
      </c>
      <c r="E141" s="5" t="s">
        <v>501</v>
      </c>
    </row>
    <row r="142" spans="1:5" x14ac:dyDescent="0.3">
      <c r="A142" s="5" t="s">
        <v>644</v>
      </c>
      <c r="B142" s="5" t="s">
        <v>365</v>
      </c>
      <c r="C142" s="6">
        <v>46269</v>
      </c>
      <c r="D142" s="7">
        <v>360</v>
      </c>
      <c r="E142" s="5" t="s">
        <v>515</v>
      </c>
    </row>
    <row r="143" spans="1:5" x14ac:dyDescent="0.3">
      <c r="A143" s="5" t="s">
        <v>645</v>
      </c>
      <c r="B143" s="5" t="s">
        <v>367</v>
      </c>
      <c r="C143" s="6">
        <v>46271</v>
      </c>
      <c r="D143" s="7">
        <v>180</v>
      </c>
      <c r="E143" s="5" t="s">
        <v>503</v>
      </c>
    </row>
    <row r="144" spans="1:5" x14ac:dyDescent="0.3">
      <c r="A144" s="5" t="s">
        <v>646</v>
      </c>
      <c r="B144" s="5" t="s">
        <v>368</v>
      </c>
      <c r="C144" s="6">
        <v>46268</v>
      </c>
      <c r="D144" s="7">
        <v>120</v>
      </c>
      <c r="E144" s="5" t="s">
        <v>501</v>
      </c>
    </row>
    <row r="145" spans="1:5" x14ac:dyDescent="0.3">
      <c r="A145" s="5" t="s">
        <v>647</v>
      </c>
      <c r="B145" s="5" t="s">
        <v>369</v>
      </c>
      <c r="C145" s="6">
        <v>46271</v>
      </c>
      <c r="D145" s="7">
        <v>540</v>
      </c>
      <c r="E145" s="5" t="s">
        <v>503</v>
      </c>
    </row>
    <row r="146" spans="1:5" x14ac:dyDescent="0.3">
      <c r="A146" s="5" t="s">
        <v>648</v>
      </c>
      <c r="B146" s="5" t="s">
        <v>370</v>
      </c>
      <c r="C146" s="6">
        <v>46283</v>
      </c>
      <c r="D146" s="7">
        <v>120</v>
      </c>
      <c r="E146" s="5" t="s">
        <v>503</v>
      </c>
    </row>
    <row r="147" spans="1:5" x14ac:dyDescent="0.3">
      <c r="A147" s="5" t="s">
        <v>649</v>
      </c>
      <c r="B147" s="5" t="s">
        <v>371</v>
      </c>
      <c r="C147" s="6">
        <v>46276</v>
      </c>
      <c r="D147" s="7">
        <v>150</v>
      </c>
      <c r="E147" s="5" t="s">
        <v>515</v>
      </c>
    </row>
    <row r="148" spans="1:5" x14ac:dyDescent="0.3">
      <c r="A148" s="5" t="s">
        <v>650</v>
      </c>
      <c r="B148" s="5" t="s">
        <v>372</v>
      </c>
      <c r="C148" s="6">
        <v>46277</v>
      </c>
      <c r="D148" s="7">
        <v>120</v>
      </c>
      <c r="E148" s="5" t="s">
        <v>503</v>
      </c>
    </row>
    <row r="149" spans="1:5" x14ac:dyDescent="0.3">
      <c r="A149" s="5" t="s">
        <v>651</v>
      </c>
      <c r="B149" s="5" t="s">
        <v>373</v>
      </c>
      <c r="C149" s="6">
        <v>46269</v>
      </c>
      <c r="D149" s="7">
        <v>150</v>
      </c>
      <c r="E149" s="5" t="s">
        <v>501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12" customWidth="1"/>
    <col min="3" max="3" width="15" customWidth="1"/>
    <col min="4" max="4" width="9" customWidth="1"/>
    <col min="5" max="5" width="12" customWidth="1"/>
    <col min="6" max="6" width="9" customWidth="1"/>
    <col min="7" max="7" width="8" customWidth="1"/>
    <col min="8" max="8" width="9" customWidth="1"/>
  </cols>
  <sheetData>
    <row r="1" spans="1:8" x14ac:dyDescent="0.3">
      <c r="A1" s="4" t="s">
        <v>652</v>
      </c>
      <c r="B1" s="4" t="s">
        <v>653</v>
      </c>
      <c r="C1" s="4" t="s">
        <v>377</v>
      </c>
      <c r="D1" s="4" t="s">
        <v>21</v>
      </c>
      <c r="E1" s="4" t="s">
        <v>654</v>
      </c>
      <c r="F1" s="4" t="s">
        <v>655</v>
      </c>
      <c r="G1" s="4" t="s">
        <v>656</v>
      </c>
      <c r="H1" s="4" t="s">
        <v>657</v>
      </c>
    </row>
    <row r="2" spans="1:8" x14ac:dyDescent="0.3">
      <c r="A2" s="5" t="s">
        <v>658</v>
      </c>
      <c r="B2" s="6">
        <v>46267</v>
      </c>
      <c r="C2" s="5" t="s">
        <v>384</v>
      </c>
      <c r="D2" s="5" t="s">
        <v>57</v>
      </c>
      <c r="E2" s="5" t="s">
        <v>659</v>
      </c>
      <c r="F2" s="8">
        <v>1</v>
      </c>
      <c r="G2" s="8">
        <v>0</v>
      </c>
      <c r="H2" s="5" t="s">
        <v>660</v>
      </c>
    </row>
    <row r="3" spans="1:8" x14ac:dyDescent="0.3">
      <c r="A3" s="5" t="s">
        <v>661</v>
      </c>
      <c r="B3" s="6">
        <v>46267</v>
      </c>
      <c r="C3" s="5" t="s">
        <v>384</v>
      </c>
      <c r="D3" s="5" t="s">
        <v>28</v>
      </c>
      <c r="E3" s="5" t="s">
        <v>659</v>
      </c>
      <c r="F3" s="8">
        <v>2</v>
      </c>
      <c r="G3" s="8">
        <v>1</v>
      </c>
      <c r="H3" s="5" t="s">
        <v>660</v>
      </c>
    </row>
    <row r="4" spans="1:8" x14ac:dyDescent="0.3">
      <c r="A4" s="5" t="s">
        <v>662</v>
      </c>
      <c r="B4" s="6">
        <v>46269</v>
      </c>
      <c r="C4" s="5" t="s">
        <v>384</v>
      </c>
      <c r="D4" s="5" t="s">
        <v>87</v>
      </c>
      <c r="E4" s="5" t="s">
        <v>659</v>
      </c>
      <c r="F4" s="8">
        <v>2</v>
      </c>
      <c r="G4" s="8">
        <v>0</v>
      </c>
      <c r="H4" s="5" t="s">
        <v>663</v>
      </c>
    </row>
    <row r="5" spans="1:8" x14ac:dyDescent="0.3">
      <c r="A5" s="5" t="s">
        <v>664</v>
      </c>
      <c r="B5" s="6">
        <v>46270</v>
      </c>
      <c r="C5" s="5" t="s">
        <v>382</v>
      </c>
      <c r="D5" s="5" t="s">
        <v>57</v>
      </c>
      <c r="E5" s="5" t="s">
        <v>665</v>
      </c>
      <c r="F5" s="8">
        <v>2</v>
      </c>
      <c r="G5" s="8">
        <v>0</v>
      </c>
      <c r="H5" s="5" t="s">
        <v>666</v>
      </c>
    </row>
    <row r="6" spans="1:8" x14ac:dyDescent="0.3">
      <c r="A6" s="5" t="s">
        <v>667</v>
      </c>
      <c r="B6" s="6">
        <v>46270</v>
      </c>
      <c r="C6" s="5" t="s">
        <v>387</v>
      </c>
      <c r="D6" s="5" t="s">
        <v>34</v>
      </c>
      <c r="E6" s="5" t="s">
        <v>668</v>
      </c>
      <c r="F6" s="8">
        <v>1</v>
      </c>
      <c r="G6" s="8">
        <v>0</v>
      </c>
      <c r="H6" s="5" t="s">
        <v>660</v>
      </c>
    </row>
    <row r="7" spans="1:8" x14ac:dyDescent="0.3">
      <c r="A7" s="5" t="s">
        <v>669</v>
      </c>
      <c r="B7" s="6">
        <v>46272</v>
      </c>
      <c r="C7" s="5" t="s">
        <v>382</v>
      </c>
      <c r="D7" s="5" t="s">
        <v>52</v>
      </c>
      <c r="E7" s="5" t="s">
        <v>665</v>
      </c>
      <c r="F7" s="8">
        <v>3</v>
      </c>
      <c r="G7" s="8">
        <v>2</v>
      </c>
      <c r="H7" s="5" t="s">
        <v>670</v>
      </c>
    </row>
    <row r="8" spans="1:8" x14ac:dyDescent="0.3">
      <c r="A8" s="5" t="s">
        <v>671</v>
      </c>
      <c r="B8" s="6">
        <v>46274</v>
      </c>
      <c r="C8" s="5" t="s">
        <v>390</v>
      </c>
      <c r="D8" s="5" t="s">
        <v>52</v>
      </c>
      <c r="E8" s="5" t="s">
        <v>672</v>
      </c>
      <c r="F8" s="8">
        <v>4</v>
      </c>
      <c r="G8" s="8">
        <v>2</v>
      </c>
      <c r="H8" s="5" t="s">
        <v>666</v>
      </c>
    </row>
    <row r="9" spans="1:8" x14ac:dyDescent="0.3">
      <c r="A9" s="5" t="s">
        <v>673</v>
      </c>
      <c r="B9" s="6">
        <v>46275</v>
      </c>
      <c r="C9" s="5" t="s">
        <v>382</v>
      </c>
      <c r="D9" s="5" t="s">
        <v>39</v>
      </c>
      <c r="E9" s="5" t="s">
        <v>665</v>
      </c>
      <c r="F9" s="8">
        <v>3</v>
      </c>
      <c r="G9" s="8">
        <v>3</v>
      </c>
      <c r="H9" s="5" t="s">
        <v>660</v>
      </c>
    </row>
    <row r="10" spans="1:8" x14ac:dyDescent="0.3">
      <c r="A10" s="5" t="s">
        <v>674</v>
      </c>
      <c r="B10" s="6">
        <v>46276</v>
      </c>
      <c r="C10" s="5" t="s">
        <v>390</v>
      </c>
      <c r="D10" s="5" t="s">
        <v>28</v>
      </c>
      <c r="E10" s="5" t="s">
        <v>672</v>
      </c>
      <c r="F10" s="8">
        <v>5</v>
      </c>
      <c r="G10" s="8">
        <v>5</v>
      </c>
      <c r="H10" s="5" t="s">
        <v>663</v>
      </c>
    </row>
    <row r="11" spans="1:8" x14ac:dyDescent="0.3">
      <c r="A11" s="5" t="s">
        <v>675</v>
      </c>
      <c r="B11" s="6">
        <v>46277</v>
      </c>
      <c r="C11" s="5" t="s">
        <v>390</v>
      </c>
      <c r="D11" s="5" t="s">
        <v>95</v>
      </c>
      <c r="E11" s="5" t="s">
        <v>672</v>
      </c>
      <c r="F11" s="8">
        <v>3</v>
      </c>
      <c r="G11" s="8">
        <v>1</v>
      </c>
      <c r="H11" s="5" t="s">
        <v>666</v>
      </c>
    </row>
    <row r="12" spans="1:8" x14ac:dyDescent="0.3">
      <c r="A12" s="5" t="s">
        <v>676</v>
      </c>
      <c r="B12" s="6">
        <v>46279</v>
      </c>
      <c r="C12" s="5" t="s">
        <v>384</v>
      </c>
      <c r="D12" s="5" t="s">
        <v>52</v>
      </c>
      <c r="E12" s="5" t="s">
        <v>659</v>
      </c>
      <c r="F12" s="8">
        <v>2</v>
      </c>
      <c r="G12" s="8">
        <v>0</v>
      </c>
      <c r="H12" s="5" t="s">
        <v>666</v>
      </c>
    </row>
    <row r="13" spans="1:8" x14ac:dyDescent="0.3">
      <c r="A13" s="5" t="s">
        <v>677</v>
      </c>
      <c r="B13" s="6">
        <v>46279</v>
      </c>
      <c r="C13" s="5" t="s">
        <v>387</v>
      </c>
      <c r="D13" s="5" t="s">
        <v>52</v>
      </c>
      <c r="E13" s="5" t="s">
        <v>668</v>
      </c>
      <c r="F13" s="8">
        <v>2</v>
      </c>
      <c r="G13" s="8">
        <v>2</v>
      </c>
      <c r="H13" s="5" t="s">
        <v>666</v>
      </c>
    </row>
    <row r="14" spans="1:8" x14ac:dyDescent="0.3">
      <c r="A14" s="5" t="s">
        <v>678</v>
      </c>
      <c r="B14" s="6">
        <v>46280</v>
      </c>
      <c r="C14" s="5" t="s">
        <v>382</v>
      </c>
      <c r="D14" s="5" t="s">
        <v>52</v>
      </c>
      <c r="E14" s="5" t="s">
        <v>665</v>
      </c>
      <c r="F14" s="8">
        <v>3</v>
      </c>
      <c r="G14" s="8">
        <v>1</v>
      </c>
      <c r="H14" s="5" t="s">
        <v>660</v>
      </c>
    </row>
    <row r="15" spans="1:8" x14ac:dyDescent="0.3">
      <c r="A15" s="5" t="s">
        <v>679</v>
      </c>
      <c r="B15" s="6">
        <v>46281</v>
      </c>
      <c r="C15" s="5" t="s">
        <v>382</v>
      </c>
      <c r="D15" s="5" t="s">
        <v>87</v>
      </c>
      <c r="E15" s="5" t="s">
        <v>665</v>
      </c>
      <c r="F15" s="8">
        <v>1</v>
      </c>
      <c r="G15" s="8">
        <v>0</v>
      </c>
      <c r="H15" s="5" t="s">
        <v>663</v>
      </c>
    </row>
    <row r="16" spans="1:8" x14ac:dyDescent="0.3">
      <c r="A16" s="5" t="s">
        <v>680</v>
      </c>
      <c r="B16" s="6">
        <v>46281</v>
      </c>
      <c r="C16" s="5" t="s">
        <v>382</v>
      </c>
      <c r="D16" s="5" t="s">
        <v>39</v>
      </c>
      <c r="E16" s="5" t="s">
        <v>665</v>
      </c>
      <c r="F16" s="8">
        <v>3</v>
      </c>
      <c r="G16" s="8">
        <v>2</v>
      </c>
      <c r="H16" s="5" t="s">
        <v>663</v>
      </c>
    </row>
    <row r="17" spans="1:8" x14ac:dyDescent="0.3">
      <c r="A17" s="5" t="s">
        <v>681</v>
      </c>
      <c r="B17" s="6">
        <v>46281</v>
      </c>
      <c r="C17" s="5" t="s">
        <v>387</v>
      </c>
      <c r="D17" s="5" t="s">
        <v>95</v>
      </c>
      <c r="E17" s="5" t="s">
        <v>668</v>
      </c>
      <c r="F17" s="8">
        <v>1</v>
      </c>
      <c r="G17" s="8">
        <v>0</v>
      </c>
      <c r="H17" s="5" t="s">
        <v>670</v>
      </c>
    </row>
    <row r="18" spans="1:8" x14ac:dyDescent="0.3">
      <c r="A18" s="5" t="s">
        <v>682</v>
      </c>
      <c r="B18" s="6">
        <v>46282</v>
      </c>
      <c r="C18" s="5" t="s">
        <v>395</v>
      </c>
      <c r="D18" s="5" t="s">
        <v>87</v>
      </c>
      <c r="E18" s="5" t="s">
        <v>683</v>
      </c>
      <c r="F18" s="8">
        <v>4</v>
      </c>
      <c r="G18" s="8">
        <v>2</v>
      </c>
      <c r="H18" s="5" t="s">
        <v>660</v>
      </c>
    </row>
    <row r="19" spans="1:8" x14ac:dyDescent="0.3">
      <c r="A19" s="5" t="s">
        <v>684</v>
      </c>
      <c r="B19" s="6">
        <v>46282</v>
      </c>
      <c r="C19" s="5" t="s">
        <v>387</v>
      </c>
      <c r="D19" s="5" t="s">
        <v>28</v>
      </c>
      <c r="E19" s="5" t="s">
        <v>668</v>
      </c>
      <c r="F19" s="8">
        <v>4</v>
      </c>
      <c r="G19" s="8">
        <v>3</v>
      </c>
      <c r="H19" s="5" t="s">
        <v>670</v>
      </c>
    </row>
    <row r="20" spans="1:8" x14ac:dyDescent="0.3">
      <c r="A20" s="5" t="s">
        <v>685</v>
      </c>
      <c r="B20" s="6">
        <v>46283</v>
      </c>
      <c r="C20" s="5" t="s">
        <v>400</v>
      </c>
      <c r="D20" s="5" t="s">
        <v>105</v>
      </c>
      <c r="E20" s="5" t="s">
        <v>686</v>
      </c>
      <c r="F20" s="8">
        <v>2</v>
      </c>
      <c r="G20" s="8">
        <v>0</v>
      </c>
      <c r="H20" s="5" t="s">
        <v>663</v>
      </c>
    </row>
    <row r="21" spans="1:8" x14ac:dyDescent="0.3">
      <c r="A21" s="5" t="s">
        <v>687</v>
      </c>
      <c r="B21" s="6">
        <v>46283</v>
      </c>
      <c r="C21" s="5" t="s">
        <v>382</v>
      </c>
      <c r="D21" s="5" t="s">
        <v>39</v>
      </c>
      <c r="E21" s="5" t="s">
        <v>665</v>
      </c>
      <c r="F21" s="8">
        <v>3</v>
      </c>
      <c r="G21" s="8">
        <v>3</v>
      </c>
      <c r="H21" s="5" t="s">
        <v>670</v>
      </c>
    </row>
    <row r="22" spans="1:8" x14ac:dyDescent="0.3">
      <c r="A22" s="5" t="s">
        <v>688</v>
      </c>
      <c r="B22" s="6">
        <v>46283</v>
      </c>
      <c r="C22" s="5" t="s">
        <v>384</v>
      </c>
      <c r="D22" s="5" t="s">
        <v>28</v>
      </c>
      <c r="E22" s="5" t="s">
        <v>659</v>
      </c>
      <c r="F22" s="8">
        <v>2</v>
      </c>
      <c r="G22" s="8">
        <v>1</v>
      </c>
      <c r="H22" s="5" t="s">
        <v>670</v>
      </c>
    </row>
    <row r="23" spans="1:8" x14ac:dyDescent="0.3">
      <c r="A23" s="5" t="s">
        <v>689</v>
      </c>
      <c r="B23" s="6">
        <v>46284</v>
      </c>
      <c r="C23" s="5" t="s">
        <v>387</v>
      </c>
      <c r="D23" s="5" t="s">
        <v>57</v>
      </c>
      <c r="E23" s="5" t="s">
        <v>668</v>
      </c>
      <c r="F23" s="8">
        <v>1</v>
      </c>
      <c r="G23" s="8">
        <v>0</v>
      </c>
      <c r="H23" s="5" t="s">
        <v>660</v>
      </c>
    </row>
    <row r="24" spans="1:8" x14ac:dyDescent="0.3">
      <c r="A24" s="5" t="s">
        <v>690</v>
      </c>
      <c r="B24" s="6">
        <v>46284</v>
      </c>
      <c r="C24" s="5" t="s">
        <v>382</v>
      </c>
      <c r="D24" s="5" t="s">
        <v>95</v>
      </c>
      <c r="E24" s="5" t="s">
        <v>665</v>
      </c>
      <c r="F24" s="8">
        <v>2</v>
      </c>
      <c r="G24" s="8">
        <v>1</v>
      </c>
      <c r="H24" s="5" t="s">
        <v>660</v>
      </c>
    </row>
    <row r="25" spans="1:8" x14ac:dyDescent="0.3">
      <c r="A25" s="5" t="s">
        <v>691</v>
      </c>
      <c r="B25" s="6">
        <v>46287</v>
      </c>
      <c r="C25" s="5" t="s">
        <v>384</v>
      </c>
      <c r="D25" s="5" t="s">
        <v>105</v>
      </c>
      <c r="E25" s="5" t="s">
        <v>659</v>
      </c>
      <c r="F25" s="8">
        <v>2</v>
      </c>
      <c r="G25" s="8">
        <v>1</v>
      </c>
      <c r="H25" s="5" t="s">
        <v>663</v>
      </c>
    </row>
    <row r="26" spans="1:8" x14ac:dyDescent="0.3">
      <c r="A26" s="5" t="s">
        <v>692</v>
      </c>
      <c r="B26" s="6">
        <v>46288</v>
      </c>
      <c r="C26" s="5" t="s">
        <v>412</v>
      </c>
      <c r="D26" s="5" t="s">
        <v>39</v>
      </c>
      <c r="E26" s="5" t="s">
        <v>693</v>
      </c>
      <c r="F26" s="8">
        <v>3</v>
      </c>
      <c r="G26" s="8">
        <v>2</v>
      </c>
      <c r="H26" s="5" t="s">
        <v>670</v>
      </c>
    </row>
    <row r="27" spans="1:8" x14ac:dyDescent="0.3">
      <c r="A27" s="5" t="s">
        <v>694</v>
      </c>
      <c r="B27" s="6">
        <v>46288</v>
      </c>
      <c r="C27" s="5" t="s">
        <v>382</v>
      </c>
      <c r="D27" s="5" t="s">
        <v>95</v>
      </c>
      <c r="E27" s="5" t="s">
        <v>665</v>
      </c>
      <c r="F27" s="8">
        <v>2</v>
      </c>
      <c r="G27" s="8">
        <v>0</v>
      </c>
      <c r="H27" s="5" t="s">
        <v>666</v>
      </c>
    </row>
    <row r="28" spans="1:8" x14ac:dyDescent="0.3">
      <c r="A28" s="5" t="s">
        <v>695</v>
      </c>
      <c r="B28" s="6">
        <v>46288</v>
      </c>
      <c r="C28" s="5" t="s">
        <v>382</v>
      </c>
      <c r="D28" s="5" t="s">
        <v>95</v>
      </c>
      <c r="E28" s="5" t="s">
        <v>665</v>
      </c>
      <c r="F28" s="8">
        <v>2</v>
      </c>
      <c r="G28" s="8">
        <v>1</v>
      </c>
      <c r="H28" s="5" t="s">
        <v>663</v>
      </c>
    </row>
    <row r="29" spans="1:8" x14ac:dyDescent="0.3">
      <c r="A29" s="5" t="s">
        <v>696</v>
      </c>
      <c r="B29" s="6">
        <v>46289</v>
      </c>
      <c r="C29" s="5" t="s">
        <v>395</v>
      </c>
      <c r="D29" s="5" t="s">
        <v>57</v>
      </c>
      <c r="E29" s="5" t="s">
        <v>683</v>
      </c>
      <c r="F29" s="8">
        <v>1</v>
      </c>
      <c r="G29" s="8">
        <v>0</v>
      </c>
      <c r="H29" s="5" t="s">
        <v>666</v>
      </c>
    </row>
    <row r="30" spans="1:8" x14ac:dyDescent="0.3">
      <c r="A30" s="5" t="s">
        <v>697</v>
      </c>
      <c r="B30" s="6">
        <v>46289</v>
      </c>
      <c r="C30" s="5" t="s">
        <v>412</v>
      </c>
      <c r="D30" s="5" t="s">
        <v>105</v>
      </c>
      <c r="E30" s="5" t="s">
        <v>693</v>
      </c>
      <c r="F30" s="8">
        <v>3</v>
      </c>
      <c r="G30" s="8">
        <v>2</v>
      </c>
      <c r="H30" s="5" t="s">
        <v>666</v>
      </c>
    </row>
    <row r="31" spans="1:8" x14ac:dyDescent="0.3">
      <c r="A31" s="5" t="s">
        <v>698</v>
      </c>
      <c r="B31" s="6">
        <v>46289</v>
      </c>
      <c r="C31" s="5" t="s">
        <v>390</v>
      </c>
      <c r="D31" s="5" t="s">
        <v>95</v>
      </c>
      <c r="E31" s="5" t="s">
        <v>672</v>
      </c>
      <c r="F31" s="8">
        <v>3</v>
      </c>
      <c r="G31" s="8">
        <v>1</v>
      </c>
      <c r="H31" s="5" t="s">
        <v>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Students</vt:lpstr>
      <vt:lpstr>Invoices</vt:lpstr>
      <vt:lpstr>Invoice Lines</vt:lpstr>
      <vt:lpstr>Receipts</vt:lpstr>
      <vt:lpstr>Classes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alvinokk</cp:lastModifiedBy>
  <dcterms:created xsi:type="dcterms:W3CDTF">2026-09-25T04:08:03Z</dcterms:created>
  <dcterms:modified xsi:type="dcterms:W3CDTF">2026-09-25T04:08:34Z</dcterms:modified>
</cp:coreProperties>
</file>